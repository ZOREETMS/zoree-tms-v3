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  <sheet name="Summary" sheetId="2" state="visible" r:id="rId4"/>
    <sheet name="Defects" sheetId="3" state="visible" r:id="rId5"/>
    <sheet name="Run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<sst xmlns="http://schemas.openxmlformats.org/spreadsheetml/2006/main" count="88" uniqueCount="67">
  <si>
    <t xml:space="preserve">Run Date</t>
  </si>
  <si>
    <t xml:space="preserve">REQ ID</t>
  </si>
  <si>
    <t xml:space="preserve">Test Name</t>
  </si>
  <si>
    <t xml:space="preserve">Status</t>
  </si>
  <si>
    <t xml:space="preserve">Defect ID</t>
  </si>
  <si>
    <t xml:space="preserve">Defect Title</t>
  </si>
  <si>
    <t xml:space="preserve">Steps to Reproduce</t>
  </si>
  <si>
    <t xml:space="preserve">Expected</t>
  </si>
  <si>
    <t xml:space="preserve">Actual</t>
  </si>
  <si>
    <t xml:space="preserve">Screenshot Path</t>
  </si>
  <si>
    <t xml:space="preserve">Cycle Number</t>
  </si>
  <si>
    <t xml:space="preserve">2026-04-16 14:01</t>
  </si>
  <si>
    <t xml:space="preserve">REQ-01</t>
  </si>
  <si>
    <t xml:space="preserve">REQ-01.01 OMS cascade Stage 2→3→4 on one click (no Release TMS button)</t>
  </si>
  <si>
    <t xml:space="preserve">PASS</t>
  </si>
  <si>
    <t xml:space="preserve">1) Open zoree-oms.html, sign in as admin/zoree2024
2) New Order: ORD-591423, AT&amp;T, Atlanta→Dallas, Ready+3d, Due+10d, ITM-1001 qty 10 wt 2
3) Click Book Order → (Stage 1→2 Booked)
4) Open Check Availability modal, click Confirm &amp; Reserve Stock (single user action)
5) Inspect o.stage after a short wait — must be 4, not 3</t>
  </si>
  <si>
    <t xml:space="preserve">confirmAvail cascades Stage 2→3→4 automatically; no secondary 'Release TMS' click.</t>
  </si>
  <si>
    <t xml:space="preserve">PASS. Stage trace before→after: 2→4. cascadeMs=750. tmsReleasedAt stamped at 2026-04-16T18:54:42.808Z. reservedAt stamped at 2026-04-16T18:54:42.594Z.</t>
  </si>
  <si>
    <t xml:space="preserve">REQ-01.02 Middleware Auto-Sync defaults to ON at boot (no Start Auto-Sync click)</t>
  </si>
  <si>
    <t xml:space="preserve">1) Open zoree-middleware.html, sign in as mw-admin/zoree-mw-2024
2) Immediately after boot() completes, read window._autoSyncOn and the button text
3) No toggleAutoSync() or button click issued by the user</t>
  </si>
  <si>
    <t xml:space="preserve">_autoSyncOn===true and 'Auto-Sync: ON' visible in button; interval selector defaults to '5' seconds.</t>
  </si>
  <si>
    <t xml:space="preserve">PASS. _autoSyncOn=true, btnText='⏹ Auto-Sync: ON', interval=5. boot() started Auto-Sync automatically.</t>
  </si>
  <si>
    <t xml:space="preserve">REQ-01.03 OMS→MW→TMS E2E: order reaches TMS orders table with audit cols stamped</t>
  </si>
  <si>
    <t xml:space="preserve">1) Create fresh order OMS-E2E-948278 in OMS and cascade to Stage 4 (as in 01.01)
2) Let the middleware 5s Auto-Sync cycle pick up the mw_requests row
3) Middleware routes PUSH_ORDER_TO_TMS through http://localhost:3010/api/ingest/oms-orders
4) Query /api/db/orders?q=select=...&amp;id=eq.OMS-E2E-948278 and inspect audit columns</t>
  </si>
  <si>
    <t xml:space="preserve">TMS row id=OMS-E2E-948278 exists with sync_source='oms', auto_synced_at populated, oms_order_ref='OMS-E2E-948278'.</t>
  </si>
  <si>
    <t xml:space="preserve">PASS. Row returned: {id:'OMS-E2E-948278', sync_source:'oms', auto_synced_at:'2026-04-16T18:59:15.716+00:00', oms_order_ref:'OMS-E2E-948278', customer:'AT&amp;T', dest:'Chicago DC, Chicago, IL 60632', status:'Unplanned'}.</t>
  </si>
  <si>
    <t xml:space="preserve">REQ-01.04 SSE delivers order to TMS Orders observer tab without refresh/click</t>
  </si>
  <si>
    <t xml:space="preserve">1) Open a TMS observer tab at /orders and record baseline '80 ORDERS'
2) Create order OMS-E2E-948278 in OMS tab and let MW auto-process
3) Poll the observer tab's DOM for the new id without any interaction</t>
  </si>
  <si>
    <t xml:space="preserve">New row appears in the observer tab via SSE 'order.created' event; badge +1.</t>
  </si>
  <si>
    <t xml:space="preserve">PASS. Row visible at first poll (elapsedMs=0, under 500ms poll resolution). Badge 80→81. Zero clicks in the observer tab.</t>
  </si>
  <si>
    <t xml:space="preserve">REQ-01.05 First OMS pipeline run (cycle 1, pre-fix): DEFECT-001 audit cols not stamped</t>
  </si>
  <si>
    <t xml:space="preserve">FAIL</t>
  </si>
  <si>
    <t xml:space="preserve">DEFECT-001</t>
  </si>
  <si>
    <t xml:space="preserve">Middleware wrote TMS directly to Supabase, bypassing /api/ingest/oms-orders</t>
  </si>
  <si>
    <t xml:space="preserve">1) Cycle-1 test with ORD-591423 (same flow as above, pre-fix)
2) After MW processed mw_requests row 54, inspect TMS orders row</t>
  </si>
  <si>
    <t xml:space="preserve">TMS row has sync_source='oms', auto_synced_at set, oms_order_ref preserved; SSE fires.</t>
  </si>
  <si>
    <t xml:space="preserve">FAIL. Row had sync_source='manual', auto_synced_at=null, oms_order_ref=null. Reason: middleware's PUSH_ORDER_TO_TMS handler did tmsDb().from('orders').upsert() directly, bypassing the TMS API. Fixed in cycle 2 by routing the handler through fetch('/api/ingest/oms-orders').</t>
  </si>
  <si>
    <t xml:space="preserve">REQ-01.06 Ingest endpoint rejects invalid OMS payload (weight missing)</t>
  </si>
  <si>
    <t xml:space="preserve">1) From the TMS Orders page browser console, POST {orders:[{id,customer,origin,destination}]} (no weight) to /api/ingest/oms-orders
2) Expect HTTP 400 with body.ok=false and body.error matching /weight/i</t>
  </si>
  <si>
    <t xml:space="preserve">HTTP 400 with {ok:false, error contains 'weight'}.</t>
  </si>
  <si>
    <t xml:space="preserve">PASS. 400 {ok:false, error:'Validation failed: orders[0].weight must be &gt; 0', details:['orders[0].weight must be &gt; 0']}.</t>
  </si>
  <si>
    <t xml:space="preserve">Total Tests</t>
  </si>
  <si>
    <t xml:space="preserve">Passed</t>
  </si>
  <si>
    <t xml:space="preserve">Failed</t>
  </si>
  <si>
    <t xml:space="preserve">Pass Rate</t>
  </si>
  <si>
    <t xml:space="preserve">Cycles</t>
  </si>
  <si>
    <t xml:space="preserve">Requirement title</t>
  </si>
  <si>
    <t xml:space="preserve">Auto order sync OMS → TMS (end-to-end via OMS + Middleware UIs)</t>
  </si>
  <si>
    <t xml:space="preserve">Title</t>
  </si>
  <si>
    <t xml:space="preserve">Severity</t>
  </si>
  <si>
    <t xml:space="preserve">Cycle Found</t>
  </si>
  <si>
    <t xml:space="preserve">Cycle Fixed</t>
  </si>
  <si>
    <t xml:space="preserve">Root Cause</t>
  </si>
  <si>
    <t xml:space="preserve">Fix Applied</t>
  </si>
  <si>
    <t xml:space="preserve">Middleware writes TMS directly to Supabase, bypassing /api/ingest/oms-orders</t>
  </si>
  <si>
    <t xml:space="preserve">High</t>
  </si>
  <si>
    <t xml:space="preserve">zoree-middleware.html:PUSH_ORDER_TO_TMS handler called tmsDb().from('orders').upsert(...) directly. That path does not emit the REQ-01 audit columns (sync_source='oms', auto_synced_at, oms_order_ref) and does not fire the /api/events/orders SSE event, so the TMS Orders page did not auto-refresh.</t>
  </si>
  <si>
    <t xml:space="preserve">Handler now POSTs to http://localhost:3010/api/ingest/oms-orders first (with oms_order_ref set to payload.id). Falls back to direct Supabase upsert only if the TMS API is offline. All four downstream assertions (sync_source, auto_synced_at, oms_order_ref, SSE delivery) verified green on cycle 2.</t>
  </si>
  <si>
    <t xml:space="preserve">Resolved</t>
  </si>
  <si>
    <t xml:space="preserve">#</t>
  </si>
  <si>
    <t xml:space="preserve">Note</t>
  </si>
  <si>
    <t xml:space="preserve">Driven via Claude in Chrome against the user's local stack: OMS zoree-oms.html, Middleware zoree-middleware.html, TMS http://localhost:5173/orders. Only the OMS 'Book Order' and 'Confirm &amp; Reserve Stock' buttons were user-clicked (both inherent to order creation, not REQ-01 seams).</t>
  </si>
  <si>
    <t xml:space="preserve">REQ-01 fix 1 (OMS side): frontend/zoree-oms.html:confirmAvail() now cascades Stage 2→3→4 in the same call path. Manual 'Release TMS' button at Stage 3 is retained only as a safety net for orders that would fail the auto-release step.</t>
  </si>
  <si>
    <t xml:space="preserve">REQ-01 fix 2 (Middleware side): frontend/zoree-middleware.html:boot() calls startAutoSync() automatically; the interval &lt;select&gt; default changed from 60s to 5s. No user click on 'Auto-Sync: OFF' required.</t>
  </si>
  <si>
    <t xml:space="preserve">REQ-01 fix 3 (Middleware cycle-2): frontend/zoree-middleware.html:processQueue PUSH_ORDER_TO_TMS handler now routes through POST http://localhost:3010/api/ingest/oms-orders before falling back to direct Supabase upsert. This is what stamps sync_source='oms' and fires the SSE event.</t>
  </si>
  <si>
    <t xml:space="preserve">Migration 005_add_oms_sync_columns.sql was applied in Supabase prior to the cycle-2 run (confirmed by column presence probe in the TMS DbApi proxy).</t>
  </si>
  <si>
    <t xml:space="preserve">Two test orders remain in the DB as artifacts: ORD-591423 (cycle-1, sync_source='manual' — was the defective run that prompted the fix) and OMS-E2E-948278 (cycle-2, sync_source='oms'). Delete from the TMS Orders UI if you want a clean post-run state.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</si>
</sst>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721C2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D6B"/>
        <bgColor rgb="FF333399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E2D6B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32"/>
    <col collapsed="false" customWidth="true" hidden="false" outlineLevel="0" max="7" min="7" style="0" width="55"/>
    <col collapsed="false" customWidth="true" hidden="false" outlineLevel="0" max="8" min="8" style="0" width="38"/>
    <col collapsed="false" customWidth="true" hidden="false" outlineLevel="0" max="9" min="9" style="0" width="55"/>
    <col collapsed="false" customWidth="true" hidden="false" outlineLevel="0" max="10" min="10" style="0" width="18"/>
    <col collapsed="false" customWidth="true" hidden="false" outlineLevel="0" max="11" min="11" style="0" width="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09.5" hidden="false" customHeight="tru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2"/>
      <c r="F2" s="2"/>
      <c r="G2" s="2" t="s">
        <v>15</v>
      </c>
      <c r="H2" s="2" t="s">
        <v>16</v>
      </c>
      <c r="I2" s="2" t="s">
        <v>17</v>
      </c>
      <c r="J2" s="2"/>
      <c r="K2" s="2" t="n">
        <v>1</v>
      </c>
    </row>
    <row r="3" customFormat="false" ht="109.5" hidden="false" customHeight="true" outlineLevel="0" collapsed="false">
      <c r="A3" s="2" t="s">
        <v>11</v>
      </c>
      <c r="B3" s="2" t="s">
        <v>12</v>
      </c>
      <c r="C3" s="2" t="s">
        <v>18</v>
      </c>
      <c r="D3" s="3" t="s">
        <v>14</v>
      </c>
      <c r="E3" s="2"/>
      <c r="F3" s="2"/>
      <c r="G3" s="2" t="s">
        <v>19</v>
      </c>
      <c r="H3" s="2" t="s">
        <v>20</v>
      </c>
      <c r="I3" s="2" t="s">
        <v>21</v>
      </c>
      <c r="J3" s="2"/>
      <c r="K3" s="2" t="n">
        <v>1</v>
      </c>
    </row>
    <row r="4" customFormat="false" ht="109.5" hidden="false" customHeight="true" outlineLevel="0" collapsed="false">
      <c r="A4" s="2" t="s">
        <v>11</v>
      </c>
      <c r="B4" s="2" t="s">
        <v>12</v>
      </c>
      <c r="C4" s="2" t="s">
        <v>22</v>
      </c>
      <c r="D4" s="3" t="s">
        <v>14</v>
      </c>
      <c r="E4" s="2"/>
      <c r="F4" s="2"/>
      <c r="G4" s="2" t="s">
        <v>23</v>
      </c>
      <c r="H4" s="2" t="s">
        <v>24</v>
      </c>
      <c r="I4" s="2" t="s">
        <v>25</v>
      </c>
      <c r="J4" s="2"/>
      <c r="K4" s="2" t="n">
        <v>2</v>
      </c>
    </row>
    <row r="5" customFormat="false" ht="109.5" hidden="false" customHeight="true" outlineLevel="0" collapsed="false">
      <c r="A5" s="2" t="s">
        <v>11</v>
      </c>
      <c r="B5" s="2" t="s">
        <v>12</v>
      </c>
      <c r="C5" s="2" t="s">
        <v>26</v>
      </c>
      <c r="D5" s="3" t="s">
        <v>14</v>
      </c>
      <c r="E5" s="2"/>
      <c r="F5" s="2"/>
      <c r="G5" s="2" t="s">
        <v>27</v>
      </c>
      <c r="H5" s="2" t="s">
        <v>28</v>
      </c>
      <c r="I5" s="2" t="s">
        <v>29</v>
      </c>
      <c r="J5" s="2"/>
      <c r="K5" s="2" t="n">
        <v>2</v>
      </c>
    </row>
    <row r="6" customFormat="false" ht="109.5" hidden="false" customHeight="true" outlineLevel="0" collapsed="false">
      <c r="A6" s="2" t="s">
        <v>11</v>
      </c>
      <c r="B6" s="2" t="s">
        <v>12</v>
      </c>
      <c r="C6" s="2" t="s">
        <v>30</v>
      </c>
      <c r="D6" s="4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/>
      <c r="K6" s="2" t="n">
        <v>1</v>
      </c>
    </row>
    <row r="7" customFormat="false" ht="109.5" hidden="false" customHeight="true" outlineLevel="0" collapsed="false">
      <c r="A7" s="2" t="s">
        <v>11</v>
      </c>
      <c r="B7" s="2" t="s">
        <v>12</v>
      </c>
      <c r="C7" s="2" t="s">
        <v>37</v>
      </c>
      <c r="D7" s="3" t="s">
        <v>14</v>
      </c>
      <c r="E7" s="2"/>
      <c r="F7" s="2"/>
      <c r="G7" s="2" t="s">
        <v>38</v>
      </c>
      <c r="H7" s="2" t="s">
        <v>39</v>
      </c>
      <c r="I7" s="2" t="s">
        <v>40</v>
      </c>
      <c r="J7" s="2"/>
      <c r="K7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0</v>
      </c>
      <c r="G1" s="1" t="s">
        <v>1</v>
      </c>
      <c r="H1" s="1" t="s">
        <v>46</v>
      </c>
    </row>
    <row r="2" customFormat="false" ht="21.75" hidden="false" customHeight="true" outlineLevel="0" collapsed="false">
      <c r="A2" s="5" t="n">
        <v>6</v>
      </c>
      <c r="B2" s="5" t="n">
        <f aca="false">COUNTIF('Test Results'!D2:D7,"PASS")</f>
        <v>5</v>
      </c>
      <c r="C2" s="5" t="n">
        <f aca="false">COUNTIF('Test Results'!D2:D7,"FAIL")</f>
        <v>1</v>
      </c>
      <c r="D2" s="6" t="n">
        <f aca="false">IFERROR(B2/A2,0)</f>
        <v>0.833333333333333</v>
      </c>
      <c r="E2" s="5" t="n">
        <v>2</v>
      </c>
      <c r="F2" s="5" t="s">
        <v>11</v>
      </c>
      <c r="G2" s="5" t="s">
        <v>12</v>
      </c>
      <c r="H2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5" min="3" style="0" width="10"/>
    <col collapsed="false" customWidth="true" hidden="false" outlineLevel="0" max="7" min="6" style="0" width="60"/>
    <col collapsed="false" customWidth="true" hidden="false" outlineLevel="0" max="8" min="8" style="0" width="11"/>
  </cols>
  <sheetData>
    <row r="1" customFormat="false" ht="31.5" hidden="false" customHeight="true" outlineLevel="0" collapsed="false">
      <c r="A1" s="1" t="s">
        <v>4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3</v>
      </c>
    </row>
    <row r="2" customFormat="false" ht="139.5" hidden="false" customHeight="true" outlineLevel="0" collapsed="false">
      <c r="A2" s="2" t="s">
        <v>32</v>
      </c>
      <c r="B2" s="2" t="s">
        <v>54</v>
      </c>
      <c r="C2" s="2" t="s">
        <v>55</v>
      </c>
      <c r="D2" s="2" t="n">
        <v>1</v>
      </c>
      <c r="E2" s="2" t="n">
        <v>2</v>
      </c>
      <c r="F2" s="2" t="s">
        <v>56</v>
      </c>
      <c r="G2" s="2" t="s">
        <v>57</v>
      </c>
      <c r="H2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0"/>
  </cols>
  <sheetData>
    <row r="1" customFormat="false" ht="27.75" hidden="false" customHeight="true" outlineLevel="0" collapsed="false">
      <c r="A1" s="1" t="s">
        <v>59</v>
      </c>
      <c r="B1" s="1" t="s">
        <v>60</v>
      </c>
    </row>
    <row r="2" customFormat="false" ht="43.5" hidden="false" customHeight="true" outlineLevel="0" collapsed="false">
      <c r="A2" s="2" t="n">
        <v>1</v>
      </c>
      <c r="B2" s="2" t="s">
        <v>61</v>
      </c>
    </row>
    <row r="3" customFormat="false" ht="43.5" hidden="false" customHeight="true" outlineLevel="0" collapsed="false">
      <c r="A3" s="2" t="n">
        <v>2</v>
      </c>
      <c r="B3" s="2" t="s">
        <v>62</v>
      </c>
    </row>
    <row r="4" customFormat="false" ht="43.5" hidden="false" customHeight="true" outlineLevel="0" collapsed="false">
      <c r="A4" s="2" t="n">
        <v>3</v>
      </c>
      <c r="B4" s="2" t="s">
        <v>63</v>
      </c>
    </row>
    <row r="5" customFormat="false" ht="43.5" hidden="false" customHeight="true" outlineLevel="0" collapsed="false">
      <c r="A5" s="2" t="n">
        <v>4</v>
      </c>
      <c r="B5" s="2" t="s">
        <v>64</v>
      </c>
    </row>
    <row r="6" customFormat="false" ht="43.5" hidden="false" customHeight="true" outlineLevel="0" collapsed="false">
      <c r="A6" s="2" t="n">
        <v>5</v>
      </c>
      <c r="B6" s="2" t="s">
        <v>65</v>
      </c>
    </row>
    <row r="7" customFormat="false" ht="43.5" hidden="false" customHeight="true" outlineLevel="0" collapsed="false">
      <c r="A7" s="2" t="n">
        <v>6</v>
      </c>
      <c r="B7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2026-04-16T19:01:39Z</dcterms:created>
  <dc:creator>openpyxl</dc:creator>
  <dc:description/>
  <dc:language>en-US</dc:language>
  <cp:lastModifiedBy/>
  <dcterms:modified xsi:type="dcterms:W3CDTF">2026-04-16T19:01:39Z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