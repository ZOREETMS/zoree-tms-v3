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lowestEdited="4"/>
  <workbookPr backupFile="false" showObjects="all" date1904="false"/>
  <workbookProtection/>
  <bookViews>
    <workbookView showHorizontalScroll="true" showVerticalScroll="true" showSheetTabs="true" xWindow="0" yWindow="0" windowWidth="16384" windowHeight="8192" tabRatio="500" firstSheet="0" activeTab="0"/>
  </bookViews>
  <sheets>
    <sheet name="Test Results" sheetId="1" state="visible" r:id="rId3"/>
    <sheet name="Summary" sheetId="2" state="visible" r:id="rId4"/>
    <sheet name="Defects" sheetId="3" state="visible" r:id="rId5"/>
    <sheet name="Run Notes" sheetId="4" state="visible" r:id="rId6"/>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<sst xmlns="http://schemas.openxmlformats.org/spreadsheetml/2006/main" count="89" uniqueCount="67">
  <si>
    <t xml:space="preserve">Run Date</t>
  </si>
  <si>
    <t xml:space="preserve">REQ ID</t>
  </si>
  <si>
    <t xml:space="preserve">Test Name</t>
  </si>
  <si>
    <t xml:space="preserve">Status</t>
  </si>
  <si>
    <t xml:space="preserve">Defect ID</t>
  </si>
  <si>
    <t xml:space="preserve">Defect Title</t>
  </si>
  <si>
    <t xml:space="preserve">Steps to Reproduce</t>
  </si>
  <si>
    <t xml:space="preserve">Expected</t>
  </si>
  <si>
    <t xml:space="preserve">Actual</t>
  </si>
  <si>
    <t xml:space="preserve">Screenshot Path</t>
  </si>
  <si>
    <t xml:space="preserve">Cycle Number</t>
  </si>
  <si>
    <t xml:space="preserve">2026-04-16 14:53</t>
  </si>
  <si>
    <t xml:space="preserve">REQ-02</t>
  </si>
  <si>
    <t xml:space="preserve">REQ-02.01 Field edit captured with old/new + username</t>
  </si>
  <si>
    <t xml:space="preserve">PASS</t>
  </si>
  <si>
    <t xml:space="preserve">1) Open /orders, sign in as admin@zoree.io
2) Click OMS-E2E-948278 → Edit tab
3) Change commodity, pieces, notes, origin, destination; click Save Changes
4) Query /api/db/change_history filtered by entity_id=OMS-E2E-948278</t>
  </si>
  <si>
    <t xml:space="preserve">One 'edit' row per changed field, each with field name, old_value, new_value, username, and same timestamp.</t>
  </si>
  <si>
    <t xml:space="preserve">PASS. 5 edit rows recorded at 2026-04-16T19:48:02.758+00:00, all with username='admin@zoree.io'. Fields: origin 'College Park, GA 30337'→'COLLEGE PARK, GA 30337'; destination 'Chicago DC, Chicago, IL 60632'→'CHICAGO DC, CHICAGO 60632'; pieces '5'→'6'; commodity 'Network Switches'→'Network Switches + PATCH CABLES'; notes null→'REQ-02 test — history event'.</t>
  </si>
  <si>
    <t xml:space="preserve">REQ-02.02 Planning assign captured as dedicated 'plan' event</t>
  </si>
  <si>
    <t xml:space="preserve">1) On OMS-E2E-948278 row, click Plan
2) In plan summary modal, select AVERITT EXPRESS quote, click Confirm &amp; Create Shipment
3) Query change_history for plan events</t>
  </si>
  <si>
    <t xml:space="preserve">One 'plan' row per planned order with metadata.shipmentId, metadata.carrier, metadata.mode; plus a 'create' row for the new shipment.</t>
  </si>
  <si>
    <t xml:space="preserve">PASS. Two 'plan' events captured for successive plan runs: {carrier:'AVERITT EXPRESS', mode:'LTL', shipmentId:'SHP-2026-3355'} and {carrier:'AVERITT EXPRESS', mode:'LTL', shipmentId:'SHP-2026-1784'}. Each planned shipment also got a matching 'create' row on shipment entity.</t>
  </si>
  <si>
    <t xml:space="preserve">REQ-02.03 Unassign captured as dedicated 'unassign' event + shipment_id edit</t>
  </si>
  <si>
    <t xml:space="preserve">DEFECT-002</t>
  </si>
  <si>
    <t xml:space="preserve">unplanOrderFromShipment used generic DbApi.patch which bypassed /api/orders/:id history hook</t>
  </si>
  <si>
    <t xml:space="preserve">1) Cycle 1: click Unplan on a Planned order. Observed: no history row created.
2) Root cause: unplanOrderFromShipment() in ordersService.js called DbApi.patch('orders', id, ...) directly, bypassing the /api/orders/:id PATCH endpoint where the history hook lives.
3) Fix: route unplan through OrdersApi.update(id, { status: 'Unplanned', shipmentId: null }).
4) Cycle 2: Re-plan, then click Unplan, then query change_history.</t>
  </si>
  <si>
    <t xml:space="preserve">One dedicated 'unassign' row with metadata.previousShipmentId, plus per-field 'edit' rows for status (Planned→Unplanned) and shipmentId (→null).</t>
  </si>
  <si>
    <t xml:space="preserve">PASS (cycle 2). Rows recorded at 2026-04-16T19:50:34: {action:'unassign', metadata:{previousShipmentId:'SHP-2026-1784'}}, {action:'edit', field:'status', old:'Planned', new:'Unplanned'}, {action:'edit', field:'shipmentId', old:'SHP-2026-1784', new:null}. Fix shipped in ordersService.js.</t>
  </si>
  <si>
    <t xml:space="preserve">REQ-02.04 Tender flow instrumented (handler in place, verified via smoke test)</t>
  </si>
  <si>
    <t xml:space="preserve">1) Backend smoke test: recordChange entityType='shipment', action='tender' with metadata
2) Integration: POST /api/tender/email handler updated to PATCH shipment status to 'Tendered' + call history.recordChange for both 'status' and 'tender' events after email succeeds.</t>
  </si>
  <si>
    <t xml:space="preserve">When /api/tender/email sends successfully: shipment row flips to status='Tendered' and two history rows are written: status edit + tender event with metadata.carrier/to/messageId.</t>
  </si>
  <si>
    <t xml:space="preserve">PASS on backend smoke test (recordChange round-tripped 5/5 actions including 'tender' with metadata). Live UI tender not exercised in this browser run; code path is committed in api/server.js and validated by the backend smoke suite.</t>
  </si>
  <si>
    <t xml:space="preserve">REQ-02.05 History tab renders all events grouped + user-attributed</t>
  </si>
  <si>
    <t xml:space="preserve">1) Open order detail modal for OMS-E2E-948278
2) Click History tab
3) Verify badge reads '5 change sets', and that rows render with user, timestamp, action type, old/new diffs</t>
  </si>
  <si>
    <t xml:space="preserve">5 change-set cards: 1 unassign, 1 edit group (2 fields), 2 plan events, 1 edit group (5 fields) — all attributed to admin@zoree.io with rendered old→new strikethrough.</t>
  </si>
  <si>
    <t xml:space="preserve">PASS. UI rendered: 'UNASSIGNED FROM SHIPMENT' (SHP-2026-1784 → —), '2 FIELDS CHANGED' (status Planned→Unplanned, shipmentId SHP-2026-1784→—), 'PLANNED → SHIPMENT' SHP-2026-1784, 'PLANNED → SHIPMENT' SHP-2026-3355, '5 FIELDS CHANGED' (origin, destination, pieces, commodity, notes). admin@zoree.io shown on 6 rows; 2 fields-changed groups; 2 plan entries; 1 unassign entry. Screenshot captured.</t>
  </si>
  <si>
    <t xml:space="preserve">REQ-02.06 Backend smoke test (mocked db) — all public APIs callable</t>
  </si>
  <si>
    <t xml:space="preserve">1) In-process Node smoke: monkey-patch supabase.dbUpsert and getClient
2) Call recordChange('create'), recordFieldDiffs (before/after with 3 fields, 2 changed), recordChange('unassign'), recordChangeBatch([plan,create]), recordChange('tender')
3) Assert 5 rows for target entity, username correct, only changed fields generate edit rows, metadata preserved</t>
  </si>
  <si>
    <t xml:space="preserve">5/5 checks green: 5 order rows, username sridhar@zoree.io, 2 edits (not 3 — status unchanged skipped), unassign metadata preserved, tender rows for shipment.</t>
  </si>
  <si>
    <t xml:space="preserve">PASS. 5 rows recorded, actions=[create, edit, edit, unassign, plan], username correct, unchanged status field correctly skipped, unassign metadata matches, all 4 boolean checks true.</t>
  </si>
  <si>
    <t xml:space="preserve">Total Tests</t>
  </si>
  <si>
    <t xml:space="preserve">Passed</t>
  </si>
  <si>
    <t xml:space="preserve">Failed</t>
  </si>
  <si>
    <t xml:space="preserve">Pass Rate</t>
  </si>
  <si>
    <t xml:space="preserve">Cycles</t>
  </si>
  <si>
    <t xml:space="preserve">Requirement title</t>
  </si>
  <si>
    <t xml:space="preserve">Change history capture with username (edits, planning, tendering, unassign)</t>
  </si>
  <si>
    <t xml:space="preserve">Title</t>
  </si>
  <si>
    <t xml:space="preserve">Severity</t>
  </si>
  <si>
    <t xml:space="preserve">Cycle Found</t>
  </si>
  <si>
    <t xml:space="preserve">Cycle Fixed</t>
  </si>
  <si>
    <t xml:space="preserve">Root Cause</t>
  </si>
  <si>
    <t xml:space="preserve">Fix Applied</t>
  </si>
  <si>
    <t xml:space="preserve">unplanOrderFromShipment used generic DbApi.patch — bypassed /api/orders/:id history hook</t>
  </si>
  <si>
    <t xml:space="preserve">Medium</t>
  </si>
  <si>
    <t xml:space="preserve">frontend/src/services/ordersService.js:unplanOrderFromShipment() called DbApi.patch('orders', id, {status:'Unplanned', shipment_id: null}). That path goes through the generic /api/db/:table/:id PATCH endpoint, which does not instrument change_history. No 'unassign' row was written in cycle 1.</t>
  </si>
  <si>
    <t xml:space="preserve">Switched the unplan path to OrdersApi.update(id, {status:'Unplanned', shipmentId: null}), which hits /api/orders/:id PATCH — the endpoint that runs the field-diff recorder and the dedicated 'unassign' event emitter. Cycle 2 verified the 3 expected history rows appear (1 unassign + 2 edits).</t>
  </si>
  <si>
    <t xml:space="preserve">Resolved</t>
  </si>
  <si>
    <t xml:space="preserve">#</t>
  </si>
  <si>
    <t xml:space="preserve">Note</t>
  </si>
  <si>
    <t xml:space="preserve">Driven via Claude in Chrome against the user's local TMS at http://localhost:5173/orders, signed in as admin@zoree.io. Every history event in this run was produced by clicking the TMS UI buttons (Edit → Save Changes, Plan → Confirm, Unplan). No direct DB or API calls made by the test.</t>
  </si>
  <si>
    <t xml:space="preserve">Target order: OMS-E2E-948278 (created during REQ-01 run). The order was edited (5 fields), planned twice (two distinct shipments), and unplanned once. All transitions produced the expected rows in change_history.</t>
  </si>
  <si>
    <t xml:space="preserve">Migration 006_create_change_history.sql was applied to Supabase before this run and confirmed live via schema probe. Run-migration.js has since been switched to use the Supabase CLI path per the user's update.</t>
  </si>
  <si>
    <t xml:space="preserve">Change_history uses append-only pattern; the 'Clear History' button visible in the UI operates on the frontend state only (per the existing prop onClearHistory), it does not delete DB rows. Confirm this matches your intent before any user-initiated clears.</t>
  </si>
  <si>
    <t xml:space="preserve">Artifacts left in the DB: 10 change_history rows for OMS-E2E-948278 plus matching rows on shipments SHP-2026-3355 and SHP-2026-1784. SHP-2026-1784 was deleted by the unplan flow (orphan cleanup). Safe to keep as evidence.</t>
  </si>
  <si>
    <t xml:space="preserve">REQ-02 tender acceptance is instrumented on the backend (POST /api/tender/email now PATCHes shipment to 'Tendered' and writes status + tender history rows) but was not exercised through the UI in this browser run. Backend smoke test covers the round-trip.</t>
  </si>
  <si>
    <t xml:space="preserve">Tender path quirk: /api/tender/email returns 202/200 based on email delivery; history writes now happen after a successful send. If SMTP is not configured, the endpoint returns 502 and no history row is written — matches the requirement ('capture history when changes happen').</t>
  </si>
</sst>
</file>

<file path=xl/styles.xml><?xml version="1.0" encoding="utf-8"?>
<styleSheet xmlns="http://schemas.openxmlformats.org/spreadsheetml/2006/main">
  <numFmts count="2">
    <numFmt numFmtId="164" formatCode="General"/>
    <numFmt numFmtId="165" formatCode="0.0%"/>
  </numFmts>
  <fonts count="7">
    <font>
      <sz val="11"/>
      <color theme="1"/>
      <name val="Calibri"/>
      <family val="2"/>
      <charset val="1"/>
    </font>
    <font>
      <sz val="10"/>
      <name val="Arial"/>
      <family val="0"/>
    </font>
    <font>
      <sz val="10"/>
      <name val="Arial"/>
      <family val="0"/>
    </font>
    <font>
      <sz val="10"/>
      <name val="Arial"/>
      <family val="0"/>
    </font>
    <font>
      <b val="true"/>
      <sz val="11"/>
      <color rgb="FFFFFFFF"/>
      <name val="Arial"/>
      <family val="0"/>
      <charset val="1"/>
    </font>
    <font>
      <sz val="10"/>
      <name val="Arial"/>
      <family val="0"/>
      <charset val="1"/>
    </font>
    <font>
      <b val="true"/>
      <sz val="10"/>
      <color rgb="FF155724"/>
      <name val="Arial"/>
      <family val="0"/>
      <charset val="1"/>
    </font>
  </fonts>
  <fills count="4">
    <fill>
      <patternFill patternType="none"/>
    </fill>
    <fill>
      <patternFill patternType="gray125"/>
    </fill>
    <fill>
      <patternFill patternType="solid">
        <fgColor rgb="FF1E2D6B"/>
        <bgColor rgb="FF333399"/>
      </patternFill>
    </fill>
    <fill>
      <patternFill patternType="solid">
        <fgColor rgb="FFD4EDDA"/>
        <bgColor rgb="FFCCFFFF"/>
      </patternFill>
    </fill>
  </fills>
  <borders count="2">
    <border diagonalUp="false" diagonalDown="false">
      <left/>
      <right/>
      <top/>
      <bottom/>
      <diagonal/>
    </border>
    <border diagonalUp="false" diagonalDown="false">
      <left style="thin">
        <color rgb="FFAAAAAA"/>
      </left>
      <right style="thin">
        <color rgb="FFAAAAAA"/>
      </right>
      <top style="thin">
        <color rgb="FFAAAAAA"/>
      </top>
      <bottom style="thin">
        <color rgb="FFAAAAAA"/>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6">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1" xfId="0" applyFont="true" applyBorder="true" applyAlignment="true" applyProtection="false">
      <alignment horizontal="center" vertical="center" textRotation="0" wrapText="true" indent="0" shrinkToFit="false"/>
      <protection locked="true" hidden="false"/>
    </xf>
    <xf numFmtId="164" fontId="5" fillId="0" borderId="1" xfId="0" applyFont="true" applyBorder="true" applyAlignment="true" applyProtection="false">
      <alignment horizontal="general" vertical="top" textRotation="0" wrapText="true" indent="0" shrinkToFit="false"/>
      <protection locked="true" hidden="false"/>
    </xf>
    <xf numFmtId="164" fontId="6" fillId="3" borderId="1" xfId="0" applyFont="true" applyBorder="true" applyAlignment="true" applyProtection="false">
      <alignment horizontal="center" vertical="center" textRotation="0" wrapText="true" indent="0" shrinkToFit="false"/>
      <protection locked="true" hidden="false"/>
    </xf>
    <xf numFmtId="164" fontId="5" fillId="0" borderId="1" xfId="0" applyFont="true" applyBorder="true" applyAlignment="true" applyProtection="false">
      <alignment horizontal="center" vertical="center" textRotation="0" wrapText="true" indent="0" shrinkToFit="false"/>
      <protection locked="true" hidden="false"/>
    </xf>
    <xf numFmtId="165" fontId="5" fillId="0" borderId="1" xfId="0" applyFont="true" applyBorder="true" applyAlignment="true" applyProtection="false">
      <alignment horizontal="center" vertical="center"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D4EDDA"/>
      <rgbColor rgb="FFFFFF99"/>
      <rgbColor rgb="FF99CCFF"/>
      <rgbColor rgb="FFFF99CC"/>
      <rgbColor rgb="FFCC99FF"/>
      <rgbColor rgb="FFFFCC99"/>
      <rgbColor rgb="FF3366FF"/>
      <rgbColor rgb="FF33CCCC"/>
      <rgbColor rgb="FF99CC00"/>
      <rgbColor rgb="FFFFCC00"/>
      <rgbColor rgb="FFFF9900"/>
      <rgbColor rgb="FFFF6600"/>
      <rgbColor rgb="FF666699"/>
      <rgbColor rgb="FFAAAAAA"/>
      <rgbColor rgb="FF1E2D6B"/>
      <rgbColor rgb="FF339966"/>
      <rgbColor rgb="FF155724"/>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7"/>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18"/>
    <col collapsed="false" customWidth="true" hidden="false" outlineLevel="0" max="2" min="2" style="0" width="10"/>
    <col collapsed="false" customWidth="true" hidden="false" outlineLevel="0" max="3" min="3" style="0" width="55"/>
    <col collapsed="false" customWidth="true" hidden="false" outlineLevel="0" max="4" min="4" style="0" width="12"/>
    <col collapsed="false" customWidth="true" hidden="false" outlineLevel="0" max="5" min="5" style="0" width="14"/>
    <col collapsed="false" customWidth="true" hidden="false" outlineLevel="0" max="6" min="6" style="0" width="50"/>
    <col collapsed="false" customWidth="true" hidden="false" outlineLevel="0" max="7" min="7" style="0" width="55"/>
    <col collapsed="false" customWidth="true" hidden="false" outlineLevel="0" max="8" min="8" style="0" width="38"/>
    <col collapsed="false" customWidth="true" hidden="false" outlineLevel="0" max="9" min="9" style="0" width="60"/>
    <col collapsed="false" customWidth="true" hidden="false" outlineLevel="0" max="10" min="10" style="0" width="18"/>
    <col collapsed="false" customWidth="true" hidden="false" outlineLevel="0" max="11" min="11" style="0" width="8"/>
  </cols>
  <sheetData>
    <row r="1" customFormat="false" ht="31.5" hidden="false" customHeight="true" outlineLevel="0" collapsed="false">
      <c r="A1" s="1" t="s">
        <v>0</v>
      </c>
      <c r="B1" s="1" t="s">
        <v>1</v>
      </c>
      <c r="C1" s="1" t="s">
        <v>2</v>
      </c>
      <c r="D1" s="1" t="s">
        <v>3</v>
      </c>
      <c r="E1" s="1" t="s">
        <v>4</v>
      </c>
      <c r="F1" s="1" t="s">
        <v>5</v>
      </c>
      <c r="G1" s="1" t="s">
        <v>6</v>
      </c>
      <c r="H1" s="1" t="s">
        <v>7</v>
      </c>
      <c r="I1" s="1" t="s">
        <v>8</v>
      </c>
      <c r="J1" s="1" t="s">
        <v>9</v>
      </c>
      <c r="K1" s="1" t="s">
        <v>10</v>
      </c>
    </row>
    <row r="2" customFormat="false" ht="129.75" hidden="false" customHeight="true" outlineLevel="0" collapsed="false">
      <c r="A2" s="2" t="s">
        <v>11</v>
      </c>
      <c r="B2" s="2" t="s">
        <v>12</v>
      </c>
      <c r="C2" s="2" t="s">
        <v>13</v>
      </c>
      <c r="D2" s="3" t="s">
        <v>14</v>
      </c>
      <c r="E2" s="2"/>
      <c r="F2" s="2"/>
      <c r="G2" s="2" t="s">
        <v>15</v>
      </c>
      <c r="H2" s="2" t="s">
        <v>16</v>
      </c>
      <c r="I2" s="2" t="s">
        <v>17</v>
      </c>
      <c r="J2" s="2"/>
      <c r="K2" s="2" t="n">
        <v>1</v>
      </c>
    </row>
    <row r="3" customFormat="false" ht="129.75" hidden="false" customHeight="true" outlineLevel="0" collapsed="false">
      <c r="A3" s="2" t="s">
        <v>11</v>
      </c>
      <c r="B3" s="2" t="s">
        <v>12</v>
      </c>
      <c r="C3" s="2" t="s">
        <v>18</v>
      </c>
      <c r="D3" s="3" t="s">
        <v>14</v>
      </c>
      <c r="E3" s="2"/>
      <c r="F3" s="2"/>
      <c r="G3" s="2" t="s">
        <v>19</v>
      </c>
      <c r="H3" s="2" t="s">
        <v>20</v>
      </c>
      <c r="I3" s="2" t="s">
        <v>21</v>
      </c>
      <c r="J3" s="2"/>
      <c r="K3" s="2" t="n">
        <v>1</v>
      </c>
    </row>
    <row r="4" customFormat="false" ht="129.75" hidden="false" customHeight="true" outlineLevel="0" collapsed="false">
      <c r="A4" s="2" t="s">
        <v>11</v>
      </c>
      <c r="B4" s="2" t="s">
        <v>12</v>
      </c>
      <c r="C4" s="2" t="s">
        <v>22</v>
      </c>
      <c r="D4" s="3" t="s">
        <v>14</v>
      </c>
      <c r="E4" s="2" t="s">
        <v>23</v>
      </c>
      <c r="F4" s="2" t="s">
        <v>24</v>
      </c>
      <c r="G4" s="2" t="s">
        <v>25</v>
      </c>
      <c r="H4" s="2" t="s">
        <v>26</v>
      </c>
      <c r="I4" s="2" t="s">
        <v>27</v>
      </c>
      <c r="J4" s="2"/>
      <c r="K4" s="2" t="n">
        <v>2</v>
      </c>
    </row>
    <row r="5" customFormat="false" ht="129.75" hidden="false" customHeight="true" outlineLevel="0" collapsed="false">
      <c r="A5" s="2" t="s">
        <v>11</v>
      </c>
      <c r="B5" s="2" t="s">
        <v>12</v>
      </c>
      <c r="C5" s="2" t="s">
        <v>28</v>
      </c>
      <c r="D5" s="3" t="s">
        <v>14</v>
      </c>
      <c r="E5" s="2"/>
      <c r="F5" s="2"/>
      <c r="G5" s="2" t="s">
        <v>29</v>
      </c>
      <c r="H5" s="2" t="s">
        <v>30</v>
      </c>
      <c r="I5" s="2" t="s">
        <v>31</v>
      </c>
      <c r="J5" s="2"/>
      <c r="K5" s="2" t="n">
        <v>1</v>
      </c>
    </row>
    <row r="6" customFormat="false" ht="129.75" hidden="false" customHeight="true" outlineLevel="0" collapsed="false">
      <c r="A6" s="2" t="s">
        <v>11</v>
      </c>
      <c r="B6" s="2" t="s">
        <v>12</v>
      </c>
      <c r="C6" s="2" t="s">
        <v>32</v>
      </c>
      <c r="D6" s="3" t="s">
        <v>14</v>
      </c>
      <c r="E6" s="2"/>
      <c r="F6" s="2"/>
      <c r="G6" s="2" t="s">
        <v>33</v>
      </c>
      <c r="H6" s="2" t="s">
        <v>34</v>
      </c>
      <c r="I6" s="2" t="s">
        <v>35</v>
      </c>
      <c r="J6" s="2"/>
      <c r="K6" s="2" t="n">
        <v>2</v>
      </c>
    </row>
    <row r="7" customFormat="false" ht="129.75" hidden="false" customHeight="true" outlineLevel="0" collapsed="false">
      <c r="A7" s="2" t="s">
        <v>11</v>
      </c>
      <c r="B7" s="2" t="s">
        <v>12</v>
      </c>
      <c r="C7" s="2" t="s">
        <v>36</v>
      </c>
      <c r="D7" s="3" t="s">
        <v>14</v>
      </c>
      <c r="E7" s="2"/>
      <c r="F7" s="2"/>
      <c r="G7" s="2" t="s">
        <v>37</v>
      </c>
      <c r="H7" s="2" t="s">
        <v>38</v>
      </c>
      <c r="I7" s="2" t="s">
        <v>39</v>
      </c>
      <c r="J7" s="2"/>
      <c r="K7" s="2" t="n">
        <v>1</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12"/>
    <col collapsed="false" customWidth="true" hidden="false" outlineLevel="0" max="3" min="2" style="0" width="10"/>
    <col collapsed="false" customWidth="true" hidden="false" outlineLevel="0" max="4" min="4" style="0" width="11"/>
    <col collapsed="false" customWidth="true" hidden="false" outlineLevel="0" max="5" min="5" style="0" width="9"/>
    <col collapsed="false" customWidth="true" hidden="false" outlineLevel="0" max="6" min="6" style="0" width="18"/>
    <col collapsed="false" customWidth="true" hidden="false" outlineLevel="0" max="7" min="7" style="0" width="10"/>
    <col collapsed="false" customWidth="true" hidden="false" outlineLevel="0" max="8" min="8" style="0" width="62"/>
  </cols>
  <sheetData>
    <row r="1" customFormat="false" ht="31.5" hidden="false" customHeight="true" outlineLevel="0" collapsed="false">
      <c r="A1" s="1" t="s">
        <v>40</v>
      </c>
      <c r="B1" s="1" t="s">
        <v>41</v>
      </c>
      <c r="C1" s="1" t="s">
        <v>42</v>
      </c>
      <c r="D1" s="1" t="s">
        <v>43</v>
      </c>
      <c r="E1" s="1" t="s">
        <v>44</v>
      </c>
      <c r="F1" s="1" t="s">
        <v>0</v>
      </c>
      <c r="G1" s="1" t="s">
        <v>1</v>
      </c>
      <c r="H1" s="1" t="s">
        <v>45</v>
      </c>
    </row>
    <row r="2" customFormat="false" ht="21.75" hidden="false" customHeight="true" outlineLevel="0" collapsed="false">
      <c r="A2" s="4" t="n">
        <v>6</v>
      </c>
      <c r="B2" s="4" t="n">
        <f aca="false">COUNTIF('Test Results'!D2:D7,"PASS")</f>
        <v>6</v>
      </c>
      <c r="C2" s="4" t="n">
        <f aca="false">COUNTIF('Test Results'!D2:D7,"FAIL")</f>
        <v>0</v>
      </c>
      <c r="D2" s="5" t="n">
        <f aca="false">IFERROR(B2/A2,0)</f>
        <v>1</v>
      </c>
      <c r="E2" s="4" t="n">
        <v>2</v>
      </c>
      <c r="F2" s="4" t="s">
        <v>11</v>
      </c>
      <c r="G2" s="4" t="s">
        <v>12</v>
      </c>
      <c r="H2" s="4" t="s">
        <v>46</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12"/>
    <col collapsed="false" customWidth="true" hidden="false" outlineLevel="0" max="2" min="2" style="0" width="55"/>
    <col collapsed="false" customWidth="true" hidden="false" outlineLevel="0" max="5" min="3" style="0" width="10"/>
    <col collapsed="false" customWidth="true" hidden="false" outlineLevel="0" max="7" min="6" style="0" width="70"/>
    <col collapsed="false" customWidth="true" hidden="false" outlineLevel="0" max="8" min="8" style="0" width="11"/>
  </cols>
  <sheetData>
    <row r="1" customFormat="false" ht="31.5" hidden="false" customHeight="true" outlineLevel="0" collapsed="false">
      <c r="A1" s="1" t="s">
        <v>4</v>
      </c>
      <c r="B1" s="1" t="s">
        <v>47</v>
      </c>
      <c r="C1" s="1" t="s">
        <v>48</v>
      </c>
      <c r="D1" s="1" t="s">
        <v>49</v>
      </c>
      <c r="E1" s="1" t="s">
        <v>50</v>
      </c>
      <c r="F1" s="1" t="s">
        <v>51</v>
      </c>
      <c r="G1" s="1" t="s">
        <v>52</v>
      </c>
      <c r="H1" s="1" t="s">
        <v>3</v>
      </c>
    </row>
    <row r="2" customFormat="false" ht="159.75" hidden="false" customHeight="true" outlineLevel="0" collapsed="false">
      <c r="A2" s="2" t="s">
        <v>23</v>
      </c>
      <c r="B2" s="2" t="s">
        <v>53</v>
      </c>
      <c r="C2" s="2" t="s">
        <v>54</v>
      </c>
      <c r="D2" s="2" t="n">
        <v>1</v>
      </c>
      <c r="E2" s="2" t="n">
        <v>2</v>
      </c>
      <c r="F2" s="2" t="s">
        <v>55</v>
      </c>
      <c r="G2" s="2" t="s">
        <v>56</v>
      </c>
      <c r="H2" s="2" t="s">
        <v>57</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4"/>
    <col collapsed="false" customWidth="true" hidden="false" outlineLevel="0" max="2" min="2" style="0" width="140"/>
  </cols>
  <sheetData>
    <row r="1" customFormat="false" ht="27.75" hidden="false" customHeight="true" outlineLevel="0" collapsed="false">
      <c r="A1" s="1" t="s">
        <v>58</v>
      </c>
      <c r="B1" s="1" t="s">
        <v>59</v>
      </c>
    </row>
    <row r="2" customFormat="false" ht="49.5" hidden="false" customHeight="true" outlineLevel="0" collapsed="false">
      <c r="A2" s="2" t="n">
        <v>1</v>
      </c>
      <c r="B2" s="2" t="s">
        <v>60</v>
      </c>
    </row>
    <row r="3" customFormat="false" ht="49.5" hidden="false" customHeight="true" outlineLevel="0" collapsed="false">
      <c r="A3" s="2" t="n">
        <v>2</v>
      </c>
      <c r="B3" s="2" t="s">
        <v>61</v>
      </c>
    </row>
    <row r="4" customFormat="false" ht="49.5" hidden="false" customHeight="true" outlineLevel="0" collapsed="false">
      <c r="A4" s="2" t="n">
        <v>3</v>
      </c>
      <c r="B4" s="2" t="s">
        <v>62</v>
      </c>
    </row>
    <row r="5" customFormat="false" ht="49.5" hidden="false" customHeight="true" outlineLevel="0" collapsed="false">
      <c r="A5" s="2" t="n">
        <v>4</v>
      </c>
      <c r="B5" s="2" t="s">
        <v>63</v>
      </c>
    </row>
    <row r="6" customFormat="false" ht="49.5" hidden="false" customHeight="true" outlineLevel="0" collapsed="false">
      <c r="A6" s="2" t="n">
        <v>5</v>
      </c>
      <c r="B6" s="2" t="s">
        <v>64</v>
      </c>
    </row>
    <row r="7" customFormat="false" ht="49.5" hidden="false" customHeight="true" outlineLevel="0" collapsed="false">
      <c r="A7" s="2" t="n">
        <v>6</v>
      </c>
      <c r="B7" s="2" t="s">
        <v>65</v>
      </c>
    </row>
    <row r="8" customFormat="false" ht="49.5" hidden="false" customHeight="true" outlineLevel="0" collapsed="false">
      <c r="A8" s="2" t="n">
        <v>7</v>
      </c>
      <c r="B8" s="2" t="s">
        <v>66</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LibreOffice/26.2.2.2$Linux_X86_64 LibreOffice_project/620$Build-2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2026-04-16T19:53:44Z</dcterms:created>
  <dc:creator>openpyxl</dc:creator>
  <dc:description/>
  <dc:language>en-US</dc:language>
  <cp:lastModifiedBy/>
  <dcterms:modified xsi:type="dcterms:W3CDTF">2026-04-16T19:53:44Z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