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sults" sheetId="1" state="visible" r:id="rId3"/>
    <sheet name="Summary" sheetId="2" state="visible" r:id="rId4"/>
    <sheet name="Recalc Walkthrough" sheetId="3" state="visible" r:id="rId5"/>
    <sheet name="Run 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<sst xmlns="http://schemas.openxmlformats.org/spreadsheetml/2006/main" count="102" uniqueCount="80">
  <si>
    <t xml:space="preserve">Run Date</t>
  </si>
  <si>
    <t xml:space="preserve">REQ ID</t>
  </si>
  <si>
    <t xml:space="preserve">Test Name</t>
  </si>
  <si>
    <t xml:space="preserve">Status</t>
  </si>
  <si>
    <t xml:space="preserve">Defect ID</t>
  </si>
  <si>
    <t xml:space="preserve">Defect Title</t>
  </si>
  <si>
    <t xml:space="preserve">Steps to Reproduce</t>
  </si>
  <si>
    <t xml:space="preserve">Expected</t>
  </si>
  <si>
    <t xml:space="preserve">Actual</t>
  </si>
  <si>
    <t xml:space="preserve">Screenshot Path</t>
  </si>
  <si>
    <t xml:space="preserve">Cycle Number</t>
  </si>
  <si>
    <t xml:space="preserve">2026-04-16 15:31</t>
  </si>
  <si>
    <t xml:space="preserve">REQ-03</t>
  </si>
  <si>
    <t xml:space="preserve">REQ-03.01 'Add to Ship' action visible on Unplanned order row</t>
  </si>
  <si>
    <t xml:space="preserve">PASS</t>
  </si>
  <si>
    <t xml:space="preserve">1) Open /orders, sign in as admin@zoree.io
2) Search for ORD-843218 (Unplanned, 60 lbs, 30 pcs)
3) Inspect the action column for a button labeled '📦 Add to Ship'</t>
  </si>
  <si>
    <t xml:space="preserve">Button visible only for Unplanned/Planning-Failed orders; tooltip mentions REQ-03.</t>
  </si>
  <si>
    <t xml:space="preserve">PASS. Button rendered in the action column with tooltip 'Add to an existing shipment (REQ-03)'.</t>
  </si>
  <si>
    <t xml:space="preserve">REQ-03.02 Modal opens with order summary + shipment ID input + datalist</t>
  </si>
  <si>
    <t xml:space="preserve">1) Click '📦 Add to Ship' on ORD-843218's row
2) Observe the modal header, text input, and datalist options</t>
  </si>
  <si>
    <t xml:space="preserve">Modal header shows 'ADD ORDER TO SHIPMENT' + 'ORDER ORD-843218 · 60 LBS · 30 PCS'. Text input with placeholder 'e.g. SHP-...'. Datalist suggests addable shipments.</t>
  </si>
  <si>
    <t xml:space="preserve">PASS. Modal rendered as designed with order summary and shipment-id input. Screenshot captured.</t>
  </si>
  <si>
    <t xml:space="preserve">REQ-03.03 Preview shows proportional recalculation before submit</t>
  </si>
  <si>
    <t xml:space="preserve">1) With modal open, type SHP-2026-7377 into the shipment input
2) Read the preview card that renders Weight / Pieces / Total Cost old→new</t>
  </si>
  <si>
    <t xml:space="preserve">Preview renders weight 91→151 LBS, pieces 12→42, total_cost $188.00→$311.96 (proportional scale 151/91≈1.659).</t>
  </si>
  <si>
    <t xml:space="preserve">PASS. Preview rendered exactly: weight 91→151, pieces 12→42, cost $188.00→$311.96. Screenshot captured.</t>
  </si>
  <si>
    <t xml:space="preserve">REQ-03.04 Submit: order appears on shipment order list + cost recalculated</t>
  </si>
  <si>
    <t xml:space="preserve">1) Click 'Add to Shipment →'
2) Query /api/db/shipments for SHP-2026-7377 and /api/db/orders for ORD-843218</t>
  </si>
  <si>
    <t xml:space="preserve">shipment.order_ids includes ORD-843218, weight=151, pieces=42, total_cost=311.96. Order status=Planned, shipment_id='SHP-2026-7377'.</t>
  </si>
  <si>
    <t xml:space="preserve">PASS. Shipment: order_ids=['ORD-2026-427236','ORD-843218'], weight=151, pieces=42, total_cost=311.96, fuel_surcharge=0. Order: status='Planned', shipment_id='SHP-2026-7377', weight=60, pieces=30.</t>
  </si>
  <si>
    <t xml:space="preserve">REQ-03.05 REQ-02 integration: one 'plan' event + four 'edit' events on the shipment</t>
  </si>
  <si>
    <t xml:space="preserve">1) After submit, query change_history for entity_id=ORD-843218 or SHP-2026-7377, last 60s
2) Inspect rows</t>
  </si>
  <si>
    <t xml:space="preserve">5 rows total: 1 'plan' on order (metadata.shipmentId, carrier, mode, addedVia=manual-add-to-shipment); 4 'edit' on shipment (weight 91→151, pieces 12→42, total_cost 188→311.96, order_ids ← appended), all username=admin@zoree.io with metadata.scale=1.659.</t>
  </si>
  <si>
    <t xml:space="preserve">PASS. 5 rows captured: plan(order, meta{addedVia:'manual-add-to-shipment', carrier:'AVERITT EXPRESS', mode:'LTL', shipmentId:'SHP-2026-7377'}), edit(weight 91→151), edit(pieces 12→42), edit(total_cost 188→311.96), edit(order_ids [1 item]→[2 items]). All attributed to admin@zoree.io with metadata.scale=1.6593406593, reason='order-added', addedOrderId='ORD-843218'.</t>
  </si>
  <si>
    <t xml:space="preserve">REQ-03.06 Backend smoke suite: happy path + recalc + error paths</t>
  </si>
  <si>
    <t xml:space="preserve">1) In-process Node smoke with mocked supabase (dbSelect/dbUpdate/dbUpsert)
2) Seed: SHP-X-001 (100 lb, $200, FSC $40, 1 order); ORD-ADD-1 (400 lb, 8 pcs); ORD-ADD-2 (0 lb); ORD-ELSEWHERE (already assigned); SHP-DONE (Delivered)
3) Run all 7 scenarios</t>
  </si>
  <si>
    <t xml:space="preserve">T1 happy path recalcs cost 200→1000 (and FSC 40→200). T2 writes 1 plan + 4 edit history rows. T3 zero-weight add leaves cost unchanged. T4 duplicate 409. T5 already-assigned 409. T6 missing shipment 404. T7 Delivered shipment 409.</t>
  </si>
  <si>
    <t xml:space="preserve">PASS. T1 ship weight=500 cost=1000 FSC=200 order_ids includes ORD-ADD-1; order status='Planned', shipment_id='SHP-X-001'. T2 1 plan row + 4 edit rows. T3 weight stays 500 cost stays 1000. T4 duplicate threw 409 'already'. T5 threw 409. T6 threw 404. T7 threw 409 'Delivered'. 7/7 checks green.</t>
  </si>
  <si>
    <t xml:space="preserve">REQ-03.07 Zero-weight old shipment edge case (cost not scaled from 0)</t>
  </si>
  <si>
    <t xml:space="preserve">1) In smoke: seed shipment with oldWeight=0 and oldCost&gt;0, then add order
2) Verify cost is kept intact and recalc.note='cost_unchanged_zero_old_weight'</t>
  </si>
  <si>
    <t xml:space="preserve">Cost stays unchanged (cannot derive $/lb from zero); recalc.note flags the condition; UI preview warns the user.</t>
  </si>
  <si>
    <t xml:space="preserve">PASS. recalcCost returns scale=1, note='cost_unchanged_zero_old_weight' when oldWeight=0. UI's AddToShipmentModal shows amber warning banner explaining the behavior.</t>
  </si>
  <si>
    <t xml:space="preserve">Total Tests</t>
  </si>
  <si>
    <t xml:space="preserve">Passed</t>
  </si>
  <si>
    <t xml:space="preserve">Failed</t>
  </si>
  <si>
    <t xml:space="preserve">Pass Rate</t>
  </si>
  <si>
    <t xml:space="preserve">Cycles</t>
  </si>
  <si>
    <t xml:space="preserve">Requirement title</t>
  </si>
  <si>
    <t xml:space="preserve">Manually add order to shipment + auto cost recalc by weight</t>
  </si>
  <si>
    <t xml:space="preserve">Field</t>
  </si>
  <si>
    <t xml:space="preserve">Before</t>
  </si>
  <si>
    <t xml:space="preserve">After</t>
  </si>
  <si>
    <t xml:space="preserve">Formula</t>
  </si>
  <si>
    <t xml:space="preserve">Shipment weight (lbs)</t>
  </si>
  <si>
    <t xml:space="preserve">oldWeight + orderWeight = 91 + 60</t>
  </si>
  <si>
    <t xml:space="preserve">Shipment pieces</t>
  </si>
  <si>
    <t xml:space="preserve">oldPieces + orderPieces = 12 + 30</t>
  </si>
  <si>
    <t xml:space="preserve">Shipment total_cost</t>
  </si>
  <si>
    <t xml:space="preserve">oldCost × (newWeight / oldWeight) = 188 × 151 / 91 = 311.956... ≈ 311.96</t>
  </si>
  <si>
    <t xml:space="preserve">Shipment fuel_surcharge</t>
  </si>
  <si>
    <t xml:space="preserve">oldFsc × scale = 0 × 1.659 = 0 (stayed 0)</t>
  </si>
  <si>
    <t xml:space="preserve">Shipment order_ids (count)</t>
  </si>
  <si>
    <t xml:space="preserve">append orderId to order_ids array</t>
  </si>
  <si>
    <t xml:space="preserve">Order status</t>
  </si>
  <si>
    <t xml:space="preserve">Unplanned</t>
  </si>
  <si>
    <t xml:space="preserve">Planned</t>
  </si>
  <si>
    <t xml:space="preserve">'Planned' (domain rule: assigned orders are Planned)</t>
  </si>
  <si>
    <t xml:space="preserve">Order shipment_id</t>
  </si>
  <si>
    <t xml:space="preserve">(null)</t>
  </si>
  <si>
    <t xml:space="preserve">SHP-2026-7377</t>
  </si>
  <si>
    <t xml:space="preserve">target shipment id</t>
  </si>
  <si>
    <t xml:space="preserve">#</t>
  </si>
  <si>
    <t xml:space="preserve">Note</t>
  </si>
  <si>
    <t xml:space="preserve">Driven via Claude in Chrome against the user's local TMS at http://localhost:5173/orders, signed in as admin@zoree.io.</t>
  </si>
  <si>
    <t xml:space="preserve">Cost recalc strategy is proportional to weight (newCost = oldCost × newWeight/oldWeight). Works for both LTL (where cost scales with weight) and TL (where paying per-mile means the scaling still yields a reasonable result when weight is the main cost driver). Zero prior weight is handled separately: cost stays put and recalc.note flags the condition, with a UI warning banner.</t>
  </si>
  <si>
    <t xml:space="preserve">fuel_surcharge and accessorials scale the same way as total_cost when present and non-null. The test shipment had fuel_surcharge=0, so the new FSC also stayed 0.</t>
  </si>
  <si>
    <t xml:space="preserve">Ineligible source states return clean HTTP errors: 404 for missing shipment, 409 for locked shipment (Delivered / Cancelled), 409 for order already on the same shipment, 409 for order assigned elsewhere, 409 for order status outside {Unplanned, Planning Failed}. See Test Results row 6 for smoke-coverage confirmation.</t>
  </si>
  <si>
    <t xml:space="preserve">REQ-02 integration: the service writes one 'plan' row on the order (metadata.addedVia='manual-add-to-shipment') plus per-field 'edit' rows on the shipment via recordFieldDiffs. scale + reason + addedOrderId are stamped into metadata so downstream reporting can distinguish manual-add from bulk-plan.</t>
  </si>
  <si>
    <t xml:space="preserve">REQ-01 integration: after the add succeeds, the route emits an ORDER_UPDATED SSE event so any open TMS tab auto-refreshes. Not exercised in this run's screenshot, but the emit is in api/server.js.</t>
  </si>
  <si>
    <t xml:space="preserve">Artifact left in DB: SHP-2026-7377 now has ORD-2026-427236 + ORD-843218 with total_cost=$311.96. Rollback if desired: unplan ORD-843218 via the UI or revert via DbApi.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</si>
</sst>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5572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D6B"/>
        <bgColor rgb="FF333399"/>
      </patternFill>
    </fill>
    <fill>
      <patternFill patternType="solid">
        <fgColor rgb="FFD4EDD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E2D6B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55"/>
    <col collapsed="false" customWidth="true" hidden="false" outlineLevel="0" max="8" min="8" style="0" width="38"/>
    <col collapsed="false" customWidth="true" hidden="false" outlineLevel="0" max="9" min="9" style="0" width="65"/>
    <col collapsed="false" customWidth="true" hidden="false" outlineLevel="0" max="10" min="10" style="0" width="18"/>
    <col collapsed="false" customWidth="true" hidden="false" outlineLevel="0" max="11" min="11" style="0" width="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09.5" hidden="false" customHeight="true" outlineLevel="0" collapsed="false">
      <c r="A2" s="2" t="s">
        <v>11</v>
      </c>
      <c r="B2" s="2" t="s">
        <v>12</v>
      </c>
      <c r="C2" s="2" t="s">
        <v>13</v>
      </c>
      <c r="D2" s="3" t="s">
        <v>14</v>
      </c>
      <c r="E2" s="2"/>
      <c r="F2" s="2"/>
      <c r="G2" s="2" t="s">
        <v>15</v>
      </c>
      <c r="H2" s="2" t="s">
        <v>16</v>
      </c>
      <c r="I2" s="2" t="s">
        <v>17</v>
      </c>
      <c r="J2" s="2"/>
      <c r="K2" s="2" t="n">
        <v>1</v>
      </c>
    </row>
    <row r="3" customFormat="false" ht="109.5" hidden="false" customHeight="true" outlineLevel="0" collapsed="false">
      <c r="A3" s="2" t="s">
        <v>11</v>
      </c>
      <c r="B3" s="2" t="s">
        <v>12</v>
      </c>
      <c r="C3" s="2" t="s">
        <v>18</v>
      </c>
      <c r="D3" s="3" t="s">
        <v>14</v>
      </c>
      <c r="E3" s="2"/>
      <c r="F3" s="2"/>
      <c r="G3" s="2" t="s">
        <v>19</v>
      </c>
      <c r="H3" s="2" t="s">
        <v>20</v>
      </c>
      <c r="I3" s="2" t="s">
        <v>21</v>
      </c>
      <c r="J3" s="2"/>
      <c r="K3" s="2" t="n">
        <v>1</v>
      </c>
    </row>
    <row r="4" customFormat="false" ht="109.5" hidden="false" customHeight="true" outlineLevel="0" collapsed="false">
      <c r="A4" s="2" t="s">
        <v>11</v>
      </c>
      <c r="B4" s="2" t="s">
        <v>12</v>
      </c>
      <c r="C4" s="2" t="s">
        <v>22</v>
      </c>
      <c r="D4" s="3" t="s">
        <v>14</v>
      </c>
      <c r="E4" s="2"/>
      <c r="F4" s="2"/>
      <c r="G4" s="2" t="s">
        <v>23</v>
      </c>
      <c r="H4" s="2" t="s">
        <v>24</v>
      </c>
      <c r="I4" s="2" t="s">
        <v>25</v>
      </c>
      <c r="J4" s="2"/>
      <c r="K4" s="2" t="n">
        <v>1</v>
      </c>
    </row>
    <row r="5" customFormat="false" ht="109.5" hidden="false" customHeight="true" outlineLevel="0" collapsed="false">
      <c r="A5" s="2" t="s">
        <v>11</v>
      </c>
      <c r="B5" s="2" t="s">
        <v>12</v>
      </c>
      <c r="C5" s="2" t="s">
        <v>26</v>
      </c>
      <c r="D5" s="3" t="s">
        <v>14</v>
      </c>
      <c r="E5" s="2"/>
      <c r="F5" s="2"/>
      <c r="G5" s="2" t="s">
        <v>27</v>
      </c>
      <c r="H5" s="2" t="s">
        <v>28</v>
      </c>
      <c r="I5" s="2" t="s">
        <v>29</v>
      </c>
      <c r="J5" s="2"/>
      <c r="K5" s="2" t="n">
        <v>1</v>
      </c>
    </row>
    <row r="6" customFormat="false" ht="109.5" hidden="false" customHeight="true" outlineLevel="0" collapsed="false">
      <c r="A6" s="2" t="s">
        <v>11</v>
      </c>
      <c r="B6" s="2" t="s">
        <v>12</v>
      </c>
      <c r="C6" s="2" t="s">
        <v>30</v>
      </c>
      <c r="D6" s="3" t="s">
        <v>14</v>
      </c>
      <c r="E6" s="2"/>
      <c r="F6" s="2"/>
      <c r="G6" s="2" t="s">
        <v>31</v>
      </c>
      <c r="H6" s="2" t="s">
        <v>32</v>
      </c>
      <c r="I6" s="2" t="s">
        <v>33</v>
      </c>
      <c r="J6" s="2"/>
      <c r="K6" s="2" t="n">
        <v>1</v>
      </c>
    </row>
    <row r="7" customFormat="false" ht="109.5" hidden="false" customHeight="true" outlineLevel="0" collapsed="false">
      <c r="A7" s="2" t="s">
        <v>11</v>
      </c>
      <c r="B7" s="2" t="s">
        <v>12</v>
      </c>
      <c r="C7" s="2" t="s">
        <v>34</v>
      </c>
      <c r="D7" s="3" t="s">
        <v>14</v>
      </c>
      <c r="E7" s="2"/>
      <c r="F7" s="2"/>
      <c r="G7" s="2" t="s">
        <v>35</v>
      </c>
      <c r="H7" s="2" t="s">
        <v>36</v>
      </c>
      <c r="I7" s="2" t="s">
        <v>37</v>
      </c>
      <c r="J7" s="2"/>
      <c r="K7" s="2" t="n">
        <v>1</v>
      </c>
    </row>
    <row r="8" customFormat="false" ht="109.5" hidden="false" customHeight="true" outlineLevel="0" collapsed="false">
      <c r="A8" s="2" t="s">
        <v>11</v>
      </c>
      <c r="B8" s="2" t="s">
        <v>12</v>
      </c>
      <c r="C8" s="2" t="s">
        <v>38</v>
      </c>
      <c r="D8" s="3" t="s">
        <v>14</v>
      </c>
      <c r="E8" s="2"/>
      <c r="F8" s="2"/>
      <c r="G8" s="2" t="s">
        <v>39</v>
      </c>
      <c r="H8" s="2" t="s">
        <v>40</v>
      </c>
      <c r="I8" s="2" t="s">
        <v>41</v>
      </c>
      <c r="J8" s="2"/>
      <c r="K8" s="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62"/>
  </cols>
  <sheetData>
    <row r="1" customFormat="false" ht="31.5" hidden="false" customHeight="true" outlineLevel="0" collapsed="false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0</v>
      </c>
      <c r="G1" s="1" t="s">
        <v>1</v>
      </c>
      <c r="H1" s="1" t="s">
        <v>47</v>
      </c>
    </row>
    <row r="2" customFormat="false" ht="21.75" hidden="false" customHeight="true" outlineLevel="0" collapsed="false">
      <c r="A2" s="4" t="n">
        <v>7</v>
      </c>
      <c r="B2" s="4" t="n">
        <f aca="false">COUNTIF('Test Results'!D2:D8,"PASS")</f>
        <v>7</v>
      </c>
      <c r="C2" s="4" t="n">
        <f aca="false">COUNTIF('Test Results'!D2:D8,"FAIL")</f>
        <v>0</v>
      </c>
      <c r="D2" s="5" t="n">
        <f aca="false">IFERROR(B2/A2,0)</f>
        <v>1</v>
      </c>
      <c r="E2" s="4" t="n">
        <v>1</v>
      </c>
      <c r="F2" s="4" t="s">
        <v>11</v>
      </c>
      <c r="G2" s="4" t="s">
        <v>12</v>
      </c>
      <c r="H2" s="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70"/>
  </cols>
  <sheetData>
    <row r="1" customFormat="false" ht="27.75" hidden="false" customHeight="true" outlineLevel="0" collapsed="false">
      <c r="A1" s="1" t="s">
        <v>49</v>
      </c>
      <c r="B1" s="1" t="s">
        <v>50</v>
      </c>
      <c r="C1" s="1" t="s">
        <v>51</v>
      </c>
      <c r="D1" s="1" t="s">
        <v>52</v>
      </c>
    </row>
    <row r="2" customFormat="false" ht="24" hidden="false" customHeight="true" outlineLevel="0" collapsed="false">
      <c r="A2" s="2" t="s">
        <v>53</v>
      </c>
      <c r="B2" s="2" t="n">
        <v>91</v>
      </c>
      <c r="C2" s="2" t="n">
        <v>151</v>
      </c>
      <c r="D2" s="2" t="s">
        <v>54</v>
      </c>
    </row>
    <row r="3" customFormat="false" ht="24" hidden="false" customHeight="true" outlineLevel="0" collapsed="false">
      <c r="A3" s="2" t="s">
        <v>55</v>
      </c>
      <c r="B3" s="2" t="n">
        <v>12</v>
      </c>
      <c r="C3" s="2" t="n">
        <v>42</v>
      </c>
      <c r="D3" s="2" t="s">
        <v>56</v>
      </c>
    </row>
    <row r="4" customFormat="false" ht="24" hidden="false" customHeight="true" outlineLevel="0" collapsed="false">
      <c r="A4" s="2" t="s">
        <v>57</v>
      </c>
      <c r="B4" s="2" t="n">
        <v>188</v>
      </c>
      <c r="C4" s="2" t="n">
        <v>311.96</v>
      </c>
      <c r="D4" s="2" t="s">
        <v>58</v>
      </c>
    </row>
    <row r="5" customFormat="false" ht="24" hidden="false" customHeight="true" outlineLevel="0" collapsed="false">
      <c r="A5" s="2" t="s">
        <v>59</v>
      </c>
      <c r="B5" s="2" t="n">
        <v>0</v>
      </c>
      <c r="C5" s="2" t="n">
        <v>0</v>
      </c>
      <c r="D5" s="2" t="s">
        <v>60</v>
      </c>
    </row>
    <row r="6" customFormat="false" ht="24" hidden="false" customHeight="true" outlineLevel="0" collapsed="false">
      <c r="A6" s="2" t="s">
        <v>61</v>
      </c>
      <c r="B6" s="2" t="n">
        <v>1</v>
      </c>
      <c r="C6" s="2" t="n">
        <v>2</v>
      </c>
      <c r="D6" s="2" t="s">
        <v>62</v>
      </c>
    </row>
    <row r="7" customFormat="false" ht="24" hidden="false" customHeight="true" outlineLevel="0" collapsed="false">
      <c r="A7" s="2" t="s">
        <v>63</v>
      </c>
      <c r="B7" s="2" t="s">
        <v>64</v>
      </c>
      <c r="C7" s="2" t="s">
        <v>65</v>
      </c>
      <c r="D7" s="2" t="s">
        <v>66</v>
      </c>
    </row>
    <row r="8" customFormat="false" ht="24" hidden="false" customHeight="true" outlineLevel="0" collapsed="false">
      <c r="A8" s="2" t="s">
        <v>67</v>
      </c>
      <c r="B8" s="2" t="s">
        <v>68</v>
      </c>
      <c r="C8" s="2" t="s">
        <v>69</v>
      </c>
      <c r="D8" s="2" t="s">
        <v>70</v>
      </c>
    </row>
    <row r="9" customFormat="false" ht="24" hidden="false" customHeight="true" outlineLevel="0" collapsed="false">
      <c r="A9" s="2"/>
      <c r="B9" s="2"/>
      <c r="C9" s="2"/>
      <c r="D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0"/>
  </cols>
  <sheetData>
    <row r="1" customFormat="false" ht="27.75" hidden="false" customHeight="true" outlineLevel="0" collapsed="false">
      <c r="A1" s="1" t="s">
        <v>71</v>
      </c>
      <c r="B1" s="1" t="s">
        <v>72</v>
      </c>
    </row>
    <row r="2" customFormat="false" ht="60" hidden="false" customHeight="true" outlineLevel="0" collapsed="false">
      <c r="A2" s="2" t="n">
        <v>1</v>
      </c>
      <c r="B2" s="2" t="s">
        <v>73</v>
      </c>
    </row>
    <row r="3" customFormat="false" ht="60" hidden="false" customHeight="true" outlineLevel="0" collapsed="false">
      <c r="A3" s="2" t="n">
        <v>2</v>
      </c>
      <c r="B3" s="2" t="s">
        <v>74</v>
      </c>
    </row>
    <row r="4" customFormat="false" ht="60" hidden="false" customHeight="true" outlineLevel="0" collapsed="false">
      <c r="A4" s="2" t="n">
        <v>3</v>
      </c>
      <c r="B4" s="2" t="s">
        <v>75</v>
      </c>
    </row>
    <row r="5" customFormat="false" ht="60" hidden="false" customHeight="true" outlineLevel="0" collapsed="false">
      <c r="A5" s="2" t="n">
        <v>4</v>
      </c>
      <c r="B5" s="2" t="s">
        <v>76</v>
      </c>
    </row>
    <row r="6" customFormat="false" ht="60" hidden="false" customHeight="true" outlineLevel="0" collapsed="false">
      <c r="A6" s="2" t="n">
        <v>5</v>
      </c>
      <c r="B6" s="2" t="s">
        <v>77</v>
      </c>
    </row>
    <row r="7" customFormat="false" ht="60" hidden="false" customHeight="true" outlineLevel="0" collapsed="false">
      <c r="A7" s="2" t="n">
        <v>6</v>
      </c>
      <c r="B7" s="2" t="s">
        <v>78</v>
      </c>
    </row>
    <row r="8" customFormat="false" ht="60" hidden="false" customHeight="true" outlineLevel="0" collapsed="false">
      <c r="A8" s="2" t="n">
        <v>7</v>
      </c>
      <c r="B8" s="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2026-04-16T20:31:48Z</dcterms:created>
  <dc:creator>openpyxl</dc:creator>
  <dc:description/>
  <dc:language>en-US</dc:language>
  <cp:lastModifiedBy/>
  <dcterms:modified xsi:type="dcterms:W3CDTF">2026-04-16T20:31:48Z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