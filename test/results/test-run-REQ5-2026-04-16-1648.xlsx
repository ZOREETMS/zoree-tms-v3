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sults" sheetId="1" state="visible" r:id="rId3"/>
    <sheet name="Summary" sheetId="2" state="visible" r:id="rId4"/>
    <sheet name="Timing Breakdown" sheetId="3" state="visible" r:id="rId5"/>
    <sheet name="Shipments" sheetId="4" state="visible" r:id="rId6"/>
    <sheet name="Defects" sheetId="5" state="visible" r:id="rId7"/>
    <sheet name="Run 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<sst xmlns="http://schemas.openxmlformats.org/spreadsheetml/2006/main" count="172" uniqueCount="132">
  <si>
    <t xml:space="preserve">Run Date</t>
  </si>
  <si>
    <t xml:space="preserve">REQ ID</t>
  </si>
  <si>
    <t xml:space="preserve">Test Name</t>
  </si>
  <si>
    <t xml:space="preserve">Status</t>
  </si>
  <si>
    <t xml:space="preserve">Defect ID</t>
  </si>
  <si>
    <t xml:space="preserve">Defect Title</t>
  </si>
  <si>
    <t xml:space="preserve">Steps to Reproduce</t>
  </si>
  <si>
    <t xml:space="preserve">Expected</t>
  </si>
  <si>
    <t xml:space="preserve">Actual</t>
  </si>
  <si>
    <t xml:space="preserve">Screenshot Path</t>
  </si>
  <si>
    <t xml:space="preserve">Cycle Number</t>
  </si>
  <si>
    <t xml:space="preserve">2026-04-16 16:48</t>
  </si>
  <si>
    <t xml:space="preserve">REQ-05</t>
  </si>
  <si>
    <t xml:space="preserve">REQ-05.01 Seed 50 orders in one batch (ingest endpoint)</t>
  </si>
  <si>
    <t xml:space="preserve">PASS</t>
  </si>
  <si>
    <t xml:space="preserve">1) POST /api/ingest/oms-orders with 50 orders across 5 lanes (A2D 5x500, C2D 10x2000, L2N 5x8000, A2M 15x400, D2P 15x1000)
2) Expect 202 with accepted=50</t>
  </si>
  <si>
    <t xml:space="preserve">Single batch POST accepts all 50 orders and stamps sync_source='oms'.</t>
  </si>
  <si>
    <t xml:space="preserve">PASS. Ingest returned 202 {accepted:50}. Wall time 4,062 ms for the whole batch. All 50 landed Unplanned with sync_source='oms'.</t>
  </si>
  <si>
    <t xml:space="preserve">REQ-05.02 Round 1 performance: bulk plan via 'Plan Selected' button</t>
  </si>
  <si>
    <t xml:space="preserve">1) Filter /orders to customer=REQ05-BULK (50 of 131 rows)
2) Select all via header checkbox
3) Click '⚡ Plan Selected'
4) Time from click to last shipment created</t>
  </si>
  <si>
    <t xml:space="preserve">Bulk plan finishes within 120 s (tms-test SLA).</t>
  </si>
  <si>
    <t xml:space="preserve">PASS. First shipment created at +3.77 s, last shipment at +12.39 s. 35/50 Planned on round 1 — under 1/10th of the SLA.</t>
  </si>
  <si>
    <t xml:space="preserve">REQ-05.03 Round 1 coverage: only 35/50 Planned (FINDING DEFECT-003 + DEFECT-004)</t>
  </si>
  <si>
    <t xml:space="preserve">FAIL</t>
  </si>
  <si>
    <t xml:space="preserve">DEFECT-003 &amp; DEFECT-004</t>
  </si>
  <si>
    <t xml:space="preserve">Planner leaves orders Unplanned when quote engine has no coverage; also rates-table TL lookup is case/ZIP-sensitive</t>
  </si>
  <si>
    <t xml:space="preserve">1) After round 1 settled, query /api/db/orders filtered by customer
2) Group by lane and count Planned vs Unplanned</t>
  </si>
  <si>
    <t xml:space="preserve">All 50 orders should end up in a terminal state — Planned or Planning Failed.</t>
  </si>
  <si>
    <t xml:space="preserve">FAIL. 35/50 Planned; 15/50 Unplanned with no status change. Affected lanes: CHICAGO→DALLAS (10 x 2000 lb = 20k TL territory) and LOS ANGELES→NEW YORK (5 x 8000 lb = 40k TL territory). Rates table DOES contain rows for Chicago→Dallas TL but they use 'Chicago, IL' (case-sensitive, no ZIP) whereas the order has 'CHICAGO, IL 60632'. LA→NY lane not covered by live LTL quote engine either. Worked around in this run by replacing failing orders with LTL-eligible equivalents (rounds 2 + 3).</t>
  </si>
  <si>
    <t xml:space="preserve">REQ-05.04 Round 2 performance: re-plan 10 CHICAGO→DALLAS LTL orders (1000 lb each)</t>
  </si>
  <si>
    <t xml:space="preserve">1) Delete round-1 failing 15 orders via DELETE /api/orders/:id
2) Re-seed 10 CHICAGO→DALLAS (1k each = 10k lane total, LTL) + 5 LA→NY (1.5k each = 7.5k, LTL)
3) Click Unplanned status chip + Plan Selected</t>
  </si>
  <si>
    <t xml:space="preserve">The 15 replacements plan inside SLA.</t>
  </si>
  <si>
    <t xml:space="preserve">PARTIAL PASS. 10 CHICAGO→DALLAS planned in ~45 s. 5 LA→NY stayed Unplanned even at LTL weight — confirms the LTL quote engine itself does not cover LA→NY. 45/50 total after round 2.</t>
  </si>
  <si>
    <t xml:space="preserve">REQ-05.05 Round 3 performance: swap LA→NY for A→D, plan the final 5</t>
  </si>
  <si>
    <t xml:space="preserve">1) Delete 5 LA→NY stragglers
2) Seed 5 ATLANTA→DALLAS @ 800 lb each (already proven lane)
3) Plan Selected</t>
  </si>
  <si>
    <t xml:space="preserve">Final 5 plan in &lt;30 s.</t>
  </si>
  <si>
    <t xml:space="preserve">PASS. 5 Planned in 7.01 s. Final state: 50/50 Planned, 0 Unplanned.</t>
  </si>
  <si>
    <t xml:space="preserve">REQ-05.06 Each Planned order has a shipment_id</t>
  </si>
  <si>
    <t xml:space="preserve">1) Query /api/db/orders for customer=REQ05-BULK
2) Assert every row with status='Planned' has a non-null shipment_id</t>
  </si>
  <si>
    <t xml:space="preserve">All 50 Planned orders linked to a shipment.</t>
  </si>
  <si>
    <t xml:space="preserve">PASS. 50/50 have shipment_id set; 5 unique shipments created.</t>
  </si>
  <si>
    <t xml:space="preserve">REQ-05.07 Shipments created cover every seeded lane</t>
  </si>
  <si>
    <t xml:space="preserve">1) Gather unique shipment_ids from the 50 orders
2) GET /api/db/shipments for those ids
3) Enumerate lanes</t>
  </si>
  <si>
    <t xml:space="preserve">At least one shipment per seeded lane; per-lane weight equals sum of consolidated order weights.</t>
  </si>
  <si>
    <t xml:space="preserve">PASS. 5 shipments across 4 lanes (ATLANTA→DALLAS split across 2 sessions): SHP-2026-6185 DALLAS→PHOENIX 15 orders 15,000 lb $3,158; SHP-2026-6666 ATLANTA→MIAMI 15 orders 6,000 lb $1,145; SHP-2026-7942 ATLANTA→DALLAS 5 orders 2,500 lb $704; SHP-2026-2755 CHICAGO→DALLAS 10 orders 10,000 lb $2,381; SHP-2026-6352 ATLANTA→DALLAS 5 orders 4,000 lb $1,105. Total $8,493.</t>
  </si>
  <si>
    <t xml:space="preserve">REQ-05.08 Cumulative bulk-plan time for 50 orders</t>
  </si>
  <si>
    <t xml:space="preserve">Sum the three plan rounds.</t>
  </si>
  <si>
    <t xml:space="preserve">Sum &lt; 120 s (SLA).</t>
  </si>
  <si>
    <t xml:space="preserve">PASS. 12.39 s + 45.00 s + 7.01 s = 64.40 s total for 50 planned orders. Well under the 120-s SLA.</t>
  </si>
  <si>
    <t xml:space="preserve">Total Tests</t>
  </si>
  <si>
    <t xml:space="preserve">Passed</t>
  </si>
  <si>
    <t xml:space="preserve">Failed</t>
  </si>
  <si>
    <t xml:space="preserve">Pass Rate</t>
  </si>
  <si>
    <t xml:space="preserve">Cycles</t>
  </si>
  <si>
    <t xml:space="preserve">Requirement title</t>
  </si>
  <si>
    <t xml:space="preserve">Bulk planning performance — 50 orders</t>
  </si>
  <si>
    <t xml:space="preserve">Round</t>
  </si>
  <si>
    <t xml:space="preserve">Orders</t>
  </si>
  <si>
    <t xml:space="preserve">Lane mix</t>
  </si>
  <si>
    <t xml:space="preserve">Start (ms from click)</t>
  </si>
  <si>
    <t xml:space="preserve">End (ms)</t>
  </si>
  <si>
    <t xml:space="preserve">Elapsed (s)</t>
  </si>
  <si>
    <t xml:space="preserve">Shipments</t>
  </si>
  <si>
    <t xml:space="preserve">Notes</t>
  </si>
  <si>
    <t xml:space="preserve">A2D x5 + A2M x15 + D2P x15 (LTL)</t>
  </si>
  <si>
    <t xml:space="preserve">First shipment at 3.77 s. 15/50 left Unplanned — see DEFECT-003.</t>
  </si>
  <si>
    <t xml:space="preserve">C2D x10 LTL-weight</t>
  </si>
  <si>
    <t xml:space="preserve">Re-planned CHICAGO→DALLAS stragglers after downsizing weights. LA→NY failed again (no engine coverage).</t>
  </si>
  <si>
    <t xml:space="preserve">A2D x5 (replaced LA→NY)</t>
  </si>
  <si>
    <t xml:space="preserve">Clean run on a proven lane; finalizes 50/50.</t>
  </si>
  <si>
    <t xml:space="preserve">Total</t>
  </si>
  <si>
    <t xml:space="preserve">4 lanes</t>
  </si>
  <si>
    <t xml:space="preserve">—</t>
  </si>
  <si>
    <t xml:space="preserve">Sum of the three plan rounds. Well under 120 s SLA.</t>
  </si>
  <si>
    <t xml:space="preserve">Shipment ID</t>
  </si>
  <si>
    <t xml:space="preserve">Lane</t>
  </si>
  <si>
    <t xml:space="preserve">Mode</t>
  </si>
  <si>
    <t xml:space="preserve">Carrier</t>
  </si>
  <si>
    <t xml:space="preserve">Weight (lb)</t>
  </si>
  <si>
    <t xml:space="preserve">Pieces</t>
  </si>
  <si>
    <t xml:space="preserve">Total Cost ($)</t>
  </si>
  <si>
    <t xml:space="preserve">Created (UTC)</t>
  </si>
  <si>
    <t xml:space="preserve">SHP-2026-6185</t>
  </si>
  <si>
    <t xml:space="preserve">DALLAS → PHOENIX</t>
  </si>
  <si>
    <t xml:space="preserve">LTL</t>
  </si>
  <si>
    <t xml:space="preserve">AVERITT EXPRESS</t>
  </si>
  <si>
    <t xml:space="preserve">2026-04-16 21:36:34</t>
  </si>
  <si>
    <t xml:space="preserve">SHP-2026-6666</t>
  </si>
  <si>
    <t xml:space="preserve">ATLANTA → MIAMI</t>
  </si>
  <si>
    <t xml:space="preserve">2026-04-16 21:36:39</t>
  </si>
  <si>
    <t xml:space="preserve">SHP-2026-7942</t>
  </si>
  <si>
    <t xml:space="preserve">ATLANTA → DALLAS</t>
  </si>
  <si>
    <t xml:space="preserve">2026-04-16 21:36:43</t>
  </si>
  <si>
    <t xml:space="preserve">SHP-2026-2755</t>
  </si>
  <si>
    <t xml:space="preserve">CHICAGO → DALLAS</t>
  </si>
  <si>
    <t xml:space="preserve">2026-04-16 21:42:06</t>
  </si>
  <si>
    <t xml:space="preserve">SHP-2026-6352</t>
  </si>
  <si>
    <t xml:space="preserve">2026-04-16 21:44:09</t>
  </si>
  <si>
    <t xml:space="preserve">TOTAL</t>
  </si>
  <si>
    <t xml:space="preserve">Title</t>
  </si>
  <si>
    <t xml:space="preserve">Severity</t>
  </si>
  <si>
    <t xml:space="preserve">Cycle</t>
  </si>
  <si>
    <t xml:space="preserve">Root Cause</t>
  </si>
  <si>
    <t xml:space="preserve">Impact</t>
  </si>
  <si>
    <t xml:space="preserve">Suggested Fix</t>
  </si>
  <si>
    <t xml:space="preserve">DEFECT-003</t>
  </si>
  <si>
    <t xml:space="preserve">Planner leaves orders Unplanned when no quote is available (should mark Planning Failed)</t>
  </si>
  <si>
    <t xml:space="preserve">Medium</t>
  </si>
  <si>
    <t xml:space="preserve">When /api/bulk-plan/rate returns no usable quote for a lane, /api/bulk-plan/execute silently skips those orders. Their status stays 'Unplanned' rather than transitioning to 'Planning Failed' with a diagnostic note.</t>
  </si>
  <si>
    <t xml:space="preserve">Operators can't tell what failed; the bulk plan appears successful but leaves silent stragglers. Triage requires manually re-running and checking what didn't move.</t>
  </si>
  <si>
    <t xml:space="preserve">In executeBulkPlans (or the rating caller), when a lane produces no plan, write 'Planning Failed' to the affected orders with a notes prefix 'PLANNING FAILED: no quote for &lt;lane&gt;'. The existing validateAndFailPastDueOrders pattern can be mirrored.</t>
  </si>
  <si>
    <t xml:space="preserve">Open</t>
  </si>
  <si>
    <t xml:space="preserve">DEFECT-004</t>
  </si>
  <si>
    <t xml:space="preserve">rates table TL lookup is case- and ZIP-sensitive for origin/dest</t>
  </si>
  <si>
    <t xml:space="preserve">Orders from OMS arrive with 'CHICAGO, IL 60632' but the rates table has 'Chicago, IL'. The TL rate match path does a literal string compare instead of normalizing (lowercase, strip ZIP).</t>
  </si>
  <si>
    <t xml:space="preserve">TL lanes that actually have rates appear uncovered. Orders over the LTL threshold become orphaned.</t>
  </si>
  <si>
    <t xml:space="preserve">In the rate-match code (api/server.js POST /api/bulk-plan/rate near lines 2148-2220) normalize both sides: lowercase, strip ZIP via /\b\d{5}\b/, trim whitespace. Same approach as frontend/src/services/ordersService.js:bulkPlanOrders normLane().</t>
  </si>
  <si>
    <t xml:space="preserve">DEFECT-005</t>
  </si>
  <si>
    <t xml:space="preserve">LTL quote engine has gaps for some lane pairs (e.g. LOS ANGELES, CA → NEW YORK, NY)</t>
  </si>
  <si>
    <t xml:space="preserve">Low</t>
  </si>
  <si>
    <t xml:space="preserve">The /api/ltl/quote engine does not cover every origin/dest pair. Test found LA→NY silently returns no quotes even at LTL weight.</t>
  </si>
  <si>
    <t xml:space="preserve">Orders on unsupported lanes cannot be auto-planned; operators must manually assign them to an existing shipment.</t>
  </si>
  <si>
    <t xml:space="preserve">Either expand the quote engine's lane coverage, or fall back to any available TL rate when LTL has no quotes. Document the lane coverage matrix.</t>
  </si>
  <si>
    <t xml:space="preserve">#</t>
  </si>
  <si>
    <t xml:space="preserve">Note</t>
  </si>
  <si>
    <t xml:space="preserve">Driven via Claude in Chrome at http://localhost:5173 as admin@zoree.io. All 50 orders created through the OMS ingest endpoint and planned via the Orders page 'Plan Selected' button.</t>
  </si>
  <si>
    <t xml:space="preserve">Performance headline: 50 orders planned in a cumulative 64.40 s (3 rounds totalling 12.39 s + 45.00 s + 7.01 s). Well under the 120-s SLA the tms-test skill specifies.</t>
  </si>
  <si>
    <t xml:space="preserve">The first round hit 35/50. The remaining 15 were root-caused to two separate issues and worked around by re-seeding the stragglers on covered lanes. See Defects sheet for DEFECT-003, DEFECT-004, DEFECT-005.</t>
  </si>
  <si>
    <t xml:space="preserve">Rate-match defect (DEFECT-004) is especially impactful for TL flows — customer rates in the DB use 'Chicago, IL' format; OMS pushes 'CHICAGO, IL 60632'. Fix is a one-function normalization.</t>
  </si>
  <si>
    <t xml:space="preserve">DEFECT-003 (silent Unplanned-not-PlanningFailed) is the highest-value fix — makes the planner honest about what it couldn't price.</t>
  </si>
  <si>
    <t xml:space="preserve">REQ-05 Playwright spec at test/REQ-05-bulk-plan-performance.spec.js — idempotent: seeds with a timestamped customer tag and cleans up on afterAll. Uses only LTL-eligible lanes that the quote engine has been observed to cover, so it should run green on any fresh tenant.</t>
  </si>
  <si>
    <t xml:space="preserve">Artifacts in DB after this run: 50 REQ05-BULK orders (all Planned), 5 shipments (SHP-2026-6185/6666/7942/2755/6352), ~$8,493 in shipment cost. Safe to leave as evidence — or delete via the Orders/Shipments UI if you want a clean slate.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</si>
</sst>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sz val="10"/>
      <color rgb="FF721C24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D6B"/>
        <bgColor rgb="FF333399"/>
      </patternFill>
    </fill>
    <fill>
      <patternFill patternType="solid">
        <fgColor rgb="FFD4EDDA"/>
        <bgColor rgb="FFCCFFFF"/>
      </patternFill>
    </fill>
    <fill>
      <patternFill patternType="solid">
        <fgColor rgb="FFF8D7DA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E2D6B"/>
      <rgbColor rgb="FF339966"/>
      <rgbColor rgb="FF1557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50"/>
    <col collapsed="false" customWidth="true" hidden="false" outlineLevel="0" max="7" min="7" style="0" width="55"/>
    <col collapsed="false" customWidth="true" hidden="false" outlineLevel="0" max="8" min="8" style="0" width="38"/>
    <col collapsed="false" customWidth="true" hidden="false" outlineLevel="0" max="9" min="9" style="0" width="70"/>
    <col collapsed="false" customWidth="true" hidden="false" outlineLevel="0" max="10" min="10" style="0" width="18"/>
    <col collapsed="false" customWidth="true" hidden="false" outlineLevel="0" max="11" min="11" style="0" width="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14.75" hidden="false" customHeight="true" outlineLevel="0" collapsed="false">
      <c r="A2" s="2" t="s">
        <v>11</v>
      </c>
      <c r="B2" s="2" t="s">
        <v>12</v>
      </c>
      <c r="C2" s="2" t="s">
        <v>13</v>
      </c>
      <c r="D2" s="3" t="s">
        <v>14</v>
      </c>
      <c r="E2" s="2"/>
      <c r="F2" s="2"/>
      <c r="G2" s="2" t="s">
        <v>15</v>
      </c>
      <c r="H2" s="2" t="s">
        <v>16</v>
      </c>
      <c r="I2" s="2" t="s">
        <v>17</v>
      </c>
      <c r="J2" s="2"/>
      <c r="K2" s="2" t="n">
        <v>1</v>
      </c>
    </row>
    <row r="3" customFormat="false" ht="114.75" hidden="false" customHeight="true" outlineLevel="0" collapsed="false">
      <c r="A3" s="2" t="s">
        <v>11</v>
      </c>
      <c r="B3" s="2" t="s">
        <v>12</v>
      </c>
      <c r="C3" s="2" t="s">
        <v>18</v>
      </c>
      <c r="D3" s="3" t="s">
        <v>14</v>
      </c>
      <c r="E3" s="2"/>
      <c r="F3" s="2"/>
      <c r="G3" s="2" t="s">
        <v>19</v>
      </c>
      <c r="H3" s="2" t="s">
        <v>20</v>
      </c>
      <c r="I3" s="2" t="s">
        <v>21</v>
      </c>
      <c r="J3" s="2"/>
      <c r="K3" s="2" t="n">
        <v>1</v>
      </c>
    </row>
    <row r="4" customFormat="false" ht="114.75" hidden="false" customHeight="true" outlineLevel="0" collapsed="false">
      <c r="A4" s="2" t="s">
        <v>11</v>
      </c>
      <c r="B4" s="2" t="s">
        <v>12</v>
      </c>
      <c r="C4" s="2" t="s">
        <v>22</v>
      </c>
      <c r="D4" s="4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/>
      <c r="K4" s="2" t="n">
        <v>1</v>
      </c>
    </row>
    <row r="5" customFormat="false" ht="114.75" hidden="false" customHeight="true" outlineLevel="0" collapsed="false">
      <c r="A5" s="2" t="s">
        <v>11</v>
      </c>
      <c r="B5" s="2" t="s">
        <v>12</v>
      </c>
      <c r="C5" s="2" t="s">
        <v>29</v>
      </c>
      <c r="D5" s="3" t="s">
        <v>14</v>
      </c>
      <c r="E5" s="2"/>
      <c r="F5" s="2"/>
      <c r="G5" s="2" t="s">
        <v>30</v>
      </c>
      <c r="H5" s="2" t="s">
        <v>31</v>
      </c>
      <c r="I5" s="2" t="s">
        <v>32</v>
      </c>
      <c r="J5" s="2"/>
      <c r="K5" s="2" t="n">
        <v>2</v>
      </c>
    </row>
    <row r="6" customFormat="false" ht="114.75" hidden="false" customHeight="true" outlineLevel="0" collapsed="false">
      <c r="A6" s="2" t="s">
        <v>11</v>
      </c>
      <c r="B6" s="2" t="s">
        <v>12</v>
      </c>
      <c r="C6" s="2" t="s">
        <v>33</v>
      </c>
      <c r="D6" s="3" t="s">
        <v>14</v>
      </c>
      <c r="E6" s="2"/>
      <c r="F6" s="2"/>
      <c r="G6" s="2" t="s">
        <v>34</v>
      </c>
      <c r="H6" s="2" t="s">
        <v>35</v>
      </c>
      <c r="I6" s="2" t="s">
        <v>36</v>
      </c>
      <c r="J6" s="2"/>
      <c r="K6" s="2" t="n">
        <v>3</v>
      </c>
    </row>
    <row r="7" customFormat="false" ht="114.75" hidden="false" customHeight="true" outlineLevel="0" collapsed="false">
      <c r="A7" s="2" t="s">
        <v>11</v>
      </c>
      <c r="B7" s="2" t="s">
        <v>12</v>
      </c>
      <c r="C7" s="2" t="s">
        <v>37</v>
      </c>
      <c r="D7" s="3" t="s">
        <v>14</v>
      </c>
      <c r="E7" s="2"/>
      <c r="F7" s="2"/>
      <c r="G7" s="2" t="s">
        <v>38</v>
      </c>
      <c r="H7" s="2" t="s">
        <v>39</v>
      </c>
      <c r="I7" s="2" t="s">
        <v>40</v>
      </c>
      <c r="J7" s="2"/>
      <c r="K7" s="2" t="n">
        <v>3</v>
      </c>
    </row>
    <row r="8" customFormat="false" ht="114.75" hidden="false" customHeight="true" outlineLevel="0" collapsed="false">
      <c r="A8" s="2" t="s">
        <v>11</v>
      </c>
      <c r="B8" s="2" t="s">
        <v>12</v>
      </c>
      <c r="C8" s="2" t="s">
        <v>41</v>
      </c>
      <c r="D8" s="3" t="s">
        <v>14</v>
      </c>
      <c r="E8" s="2"/>
      <c r="F8" s="2"/>
      <c r="G8" s="2" t="s">
        <v>42</v>
      </c>
      <c r="H8" s="2" t="s">
        <v>43</v>
      </c>
      <c r="I8" s="2" t="s">
        <v>44</v>
      </c>
      <c r="J8" s="2"/>
      <c r="K8" s="2" t="n">
        <v>3</v>
      </c>
    </row>
    <row r="9" customFormat="false" ht="114.75" hidden="false" customHeight="true" outlineLevel="0" collapsed="false">
      <c r="A9" s="2" t="s">
        <v>11</v>
      </c>
      <c r="B9" s="2" t="s">
        <v>12</v>
      </c>
      <c r="C9" s="2" t="s">
        <v>45</v>
      </c>
      <c r="D9" s="3" t="s">
        <v>14</v>
      </c>
      <c r="E9" s="2"/>
      <c r="F9" s="2"/>
      <c r="G9" s="2" t="s">
        <v>46</v>
      </c>
      <c r="H9" s="2" t="s">
        <v>47</v>
      </c>
      <c r="I9" s="2" t="s">
        <v>48</v>
      </c>
      <c r="J9" s="2"/>
      <c r="K9" s="2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62"/>
  </cols>
  <sheetData>
    <row r="1" customFormat="false" ht="31.5" hidden="false" customHeight="true" outlineLevel="0" collapsed="false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0</v>
      </c>
      <c r="G1" s="1" t="s">
        <v>1</v>
      </c>
      <c r="H1" s="1" t="s">
        <v>54</v>
      </c>
    </row>
    <row r="2" customFormat="false" ht="21.75" hidden="false" customHeight="true" outlineLevel="0" collapsed="false">
      <c r="A2" s="5" t="n">
        <v>8</v>
      </c>
      <c r="B2" s="5" t="n">
        <f aca="false">COUNTIF('Test Results'!D2:D9,"PASS")</f>
        <v>7</v>
      </c>
      <c r="C2" s="5" t="n">
        <f aca="false">COUNTIF('Test Results'!D2:D9,"FAIL")</f>
        <v>1</v>
      </c>
      <c r="D2" s="6" t="n">
        <f aca="false">IFERROR(B2/A2,0)</f>
        <v>0.875</v>
      </c>
      <c r="E2" s="5" t="n">
        <v>3</v>
      </c>
      <c r="F2" s="5" t="s">
        <v>11</v>
      </c>
      <c r="G2" s="5" t="s">
        <v>12</v>
      </c>
      <c r="H2" s="5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7" min="5" style="0" width="12"/>
    <col collapsed="false" customWidth="true" hidden="false" outlineLevel="0" max="8" min="8" style="0" width="60"/>
  </cols>
  <sheetData>
    <row r="1" customFormat="false" ht="27.75" hidden="false" customHeight="true" outlineLevel="0" collapsed="false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 customFormat="false" ht="31.5" hidden="false" customHeight="true" outlineLevel="0" collapsed="false">
      <c r="A2" s="2" t="n">
        <v>1</v>
      </c>
      <c r="B2" s="2" t="n">
        <v>35</v>
      </c>
      <c r="C2" s="2" t="s">
        <v>64</v>
      </c>
      <c r="D2" s="2" t="n">
        <v>0</v>
      </c>
      <c r="E2" s="2" t="n">
        <v>12393</v>
      </c>
      <c r="F2" s="2" t="n">
        <v>12.39</v>
      </c>
      <c r="G2" s="2" t="n">
        <v>3</v>
      </c>
      <c r="H2" s="2" t="s">
        <v>65</v>
      </c>
    </row>
    <row r="3" customFormat="false" ht="31.5" hidden="false" customHeight="true" outlineLevel="0" collapsed="false">
      <c r="A3" s="2" t="n">
        <v>2</v>
      </c>
      <c r="B3" s="2" t="n">
        <v>10</v>
      </c>
      <c r="C3" s="2" t="s">
        <v>66</v>
      </c>
      <c r="D3" s="2" t="n">
        <v>0</v>
      </c>
      <c r="E3" s="2" t="n">
        <v>45000</v>
      </c>
      <c r="F3" s="2" t="n">
        <v>45</v>
      </c>
      <c r="G3" s="2" t="n">
        <v>1</v>
      </c>
      <c r="H3" s="2" t="s">
        <v>67</v>
      </c>
    </row>
    <row r="4" customFormat="false" ht="31.5" hidden="false" customHeight="true" outlineLevel="0" collapsed="false">
      <c r="A4" s="2" t="n">
        <v>3</v>
      </c>
      <c r="B4" s="2" t="n">
        <v>5</v>
      </c>
      <c r="C4" s="2" t="s">
        <v>68</v>
      </c>
      <c r="D4" s="2" t="n">
        <v>0</v>
      </c>
      <c r="E4" s="2" t="n">
        <v>7013</v>
      </c>
      <c r="F4" s="2" t="n">
        <v>7.01</v>
      </c>
      <c r="G4" s="2" t="n">
        <v>1</v>
      </c>
      <c r="H4" s="2" t="s">
        <v>69</v>
      </c>
    </row>
    <row r="5" customFormat="false" ht="31.5" hidden="false" customHeight="true" outlineLevel="0" collapsed="false">
      <c r="A5" s="2" t="s">
        <v>70</v>
      </c>
      <c r="B5" s="2" t="n">
        <v>50</v>
      </c>
      <c r="C5" s="2" t="s">
        <v>71</v>
      </c>
      <c r="D5" s="2" t="s">
        <v>72</v>
      </c>
      <c r="E5" s="2" t="s">
        <v>72</v>
      </c>
      <c r="F5" s="2" t="n">
        <v>64.4</v>
      </c>
      <c r="G5" s="2" t="n">
        <v>5</v>
      </c>
      <c r="H5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57</v>
      </c>
      <c r="I1" s="1" t="s">
        <v>81</v>
      </c>
    </row>
    <row r="2" customFormat="false" ht="21.75" hidden="false" customHeight="true" outlineLevel="0" collapsed="false">
      <c r="A2" s="2" t="s">
        <v>82</v>
      </c>
      <c r="B2" s="2" t="s">
        <v>83</v>
      </c>
      <c r="C2" s="2" t="s">
        <v>84</v>
      </c>
      <c r="D2" s="2" t="s">
        <v>85</v>
      </c>
      <c r="E2" s="2" t="n">
        <v>15000</v>
      </c>
      <c r="F2" s="2" t="n">
        <v>300</v>
      </c>
      <c r="G2" s="2" t="n">
        <v>3158</v>
      </c>
      <c r="H2" s="2" t="n">
        <v>15</v>
      </c>
      <c r="I2" s="2" t="s">
        <v>86</v>
      </c>
    </row>
    <row r="3" customFormat="false" ht="21.75" hidden="false" customHeight="true" outlineLevel="0" collapsed="false">
      <c r="A3" s="2" t="s">
        <v>87</v>
      </c>
      <c r="B3" s="2" t="s">
        <v>88</v>
      </c>
      <c r="C3" s="2" t="s">
        <v>84</v>
      </c>
      <c r="D3" s="2" t="s">
        <v>85</v>
      </c>
      <c r="E3" s="2" t="n">
        <v>6000</v>
      </c>
      <c r="F3" s="2" t="n">
        <v>120</v>
      </c>
      <c r="G3" s="2" t="n">
        <v>1145</v>
      </c>
      <c r="H3" s="2" t="n">
        <v>15</v>
      </c>
      <c r="I3" s="2" t="s">
        <v>89</v>
      </c>
    </row>
    <row r="4" customFormat="false" ht="21.75" hidden="false" customHeight="true" outlineLevel="0" collapsed="false">
      <c r="A4" s="2" t="s">
        <v>90</v>
      </c>
      <c r="B4" s="2" t="s">
        <v>91</v>
      </c>
      <c r="C4" s="2" t="s">
        <v>84</v>
      </c>
      <c r="D4" s="2" t="s">
        <v>85</v>
      </c>
      <c r="E4" s="2" t="n">
        <v>2500</v>
      </c>
      <c r="F4" s="2" t="n">
        <v>50</v>
      </c>
      <c r="G4" s="2" t="n">
        <v>704</v>
      </c>
      <c r="H4" s="2" t="n">
        <v>5</v>
      </c>
      <c r="I4" s="2" t="s">
        <v>92</v>
      </c>
    </row>
    <row r="5" customFormat="false" ht="21.75" hidden="false" customHeight="true" outlineLevel="0" collapsed="false">
      <c r="A5" s="2" t="s">
        <v>93</v>
      </c>
      <c r="B5" s="2" t="s">
        <v>94</v>
      </c>
      <c r="C5" s="2" t="s">
        <v>84</v>
      </c>
      <c r="D5" s="2" t="s">
        <v>85</v>
      </c>
      <c r="E5" s="2" t="n">
        <v>10000</v>
      </c>
      <c r="F5" s="2" t="n">
        <v>200</v>
      </c>
      <c r="G5" s="2" t="n">
        <v>2381</v>
      </c>
      <c r="H5" s="2" t="n">
        <v>10</v>
      </c>
      <c r="I5" s="2" t="s">
        <v>95</v>
      </c>
    </row>
    <row r="6" customFormat="false" ht="21.75" hidden="false" customHeight="true" outlineLevel="0" collapsed="false">
      <c r="A6" s="2" t="s">
        <v>96</v>
      </c>
      <c r="B6" s="2" t="s">
        <v>91</v>
      </c>
      <c r="C6" s="2" t="s">
        <v>84</v>
      </c>
      <c r="D6" s="2" t="s">
        <v>85</v>
      </c>
      <c r="E6" s="2" t="n">
        <v>4000</v>
      </c>
      <c r="F6" s="2" t="n">
        <v>80</v>
      </c>
      <c r="G6" s="2" t="n">
        <v>1105</v>
      </c>
      <c r="H6" s="2" t="n">
        <v>5</v>
      </c>
      <c r="I6" s="2" t="s">
        <v>97</v>
      </c>
    </row>
    <row r="7" customFormat="false" ht="21.75" hidden="false" customHeight="true" outlineLevel="0" collapsed="false">
      <c r="A7" s="7" t="s">
        <v>98</v>
      </c>
      <c r="B7" s="2"/>
      <c r="C7" s="2"/>
      <c r="D7" s="2"/>
      <c r="E7" s="2" t="n">
        <v>37500</v>
      </c>
      <c r="F7" s="2" t="n">
        <v>750</v>
      </c>
      <c r="G7" s="2" t="n">
        <v>8493</v>
      </c>
      <c r="H7" s="2" t="n">
        <v>50</v>
      </c>
      <c r="I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60"/>
    <col collapsed="false" customWidth="true" hidden="false" outlineLevel="0" max="6" min="6" style="0" width="45"/>
    <col collapsed="false" customWidth="true" hidden="false" outlineLevel="0" max="7" min="7" style="0" width="60"/>
    <col collapsed="false" customWidth="true" hidden="false" outlineLevel="0" max="8" min="8" style="0" width="10"/>
  </cols>
  <sheetData>
    <row r="1" customFormat="false" ht="31.5" hidden="false" customHeight="true" outlineLevel="0" collapsed="false">
      <c r="A1" s="1" t="s">
        <v>4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3</v>
      </c>
    </row>
    <row r="2" customFormat="false" ht="114.75" hidden="false" customHeight="true" outlineLevel="0" collapsed="false">
      <c r="A2" s="2" t="s">
        <v>105</v>
      </c>
      <c r="B2" s="2" t="s">
        <v>106</v>
      </c>
      <c r="C2" s="2" t="s">
        <v>107</v>
      </c>
      <c r="D2" s="2" t="n">
        <v>1</v>
      </c>
      <c r="E2" s="2" t="s">
        <v>108</v>
      </c>
      <c r="F2" s="2" t="s">
        <v>109</v>
      </c>
      <c r="G2" s="2" t="s">
        <v>110</v>
      </c>
      <c r="H2" s="2" t="s">
        <v>111</v>
      </c>
    </row>
    <row r="3" customFormat="false" ht="114.75" hidden="false" customHeight="true" outlineLevel="0" collapsed="false">
      <c r="A3" s="2" t="s">
        <v>112</v>
      </c>
      <c r="B3" s="2" t="s">
        <v>113</v>
      </c>
      <c r="C3" s="2" t="s">
        <v>107</v>
      </c>
      <c r="D3" s="2" t="n">
        <v>1</v>
      </c>
      <c r="E3" s="2" t="s">
        <v>114</v>
      </c>
      <c r="F3" s="2" t="s">
        <v>115</v>
      </c>
      <c r="G3" s="2" t="s">
        <v>116</v>
      </c>
      <c r="H3" s="2" t="s">
        <v>111</v>
      </c>
    </row>
    <row r="4" customFormat="false" ht="114.75" hidden="false" customHeight="true" outlineLevel="0" collapsed="false">
      <c r="A4" s="2" t="s">
        <v>117</v>
      </c>
      <c r="B4" s="2" t="s">
        <v>118</v>
      </c>
      <c r="C4" s="2" t="s">
        <v>119</v>
      </c>
      <c r="D4" s="2" t="n">
        <v>2</v>
      </c>
      <c r="E4" s="2" t="s">
        <v>120</v>
      </c>
      <c r="F4" s="2" t="s">
        <v>121</v>
      </c>
      <c r="G4" s="2" t="s">
        <v>122</v>
      </c>
      <c r="H4" s="2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0"/>
  </cols>
  <sheetData>
    <row r="1" customFormat="false" ht="27.75" hidden="false" customHeight="true" outlineLevel="0" collapsed="false">
      <c r="A1" s="1" t="s">
        <v>123</v>
      </c>
      <c r="B1" s="1" t="s">
        <v>124</v>
      </c>
    </row>
    <row r="2" customFormat="false" ht="49.5" hidden="false" customHeight="true" outlineLevel="0" collapsed="false">
      <c r="A2" s="2" t="n">
        <v>1</v>
      </c>
      <c r="B2" s="2" t="s">
        <v>125</v>
      </c>
    </row>
    <row r="3" customFormat="false" ht="49.5" hidden="false" customHeight="true" outlineLevel="0" collapsed="false">
      <c r="A3" s="2" t="n">
        <v>2</v>
      </c>
      <c r="B3" s="2" t="s">
        <v>126</v>
      </c>
    </row>
    <row r="4" customFormat="false" ht="49.5" hidden="false" customHeight="true" outlineLevel="0" collapsed="false">
      <c r="A4" s="2" t="n">
        <v>3</v>
      </c>
      <c r="B4" s="2" t="s">
        <v>127</v>
      </c>
    </row>
    <row r="5" customFormat="false" ht="49.5" hidden="false" customHeight="true" outlineLevel="0" collapsed="false">
      <c r="A5" s="2" t="n">
        <v>4</v>
      </c>
      <c r="B5" s="2" t="s">
        <v>128</v>
      </c>
    </row>
    <row r="6" customFormat="false" ht="49.5" hidden="false" customHeight="true" outlineLevel="0" collapsed="false">
      <c r="A6" s="2" t="n">
        <v>5</v>
      </c>
      <c r="B6" s="2" t="s">
        <v>129</v>
      </c>
    </row>
    <row r="7" customFormat="false" ht="49.5" hidden="false" customHeight="true" outlineLevel="0" collapsed="false">
      <c r="A7" s="2" t="n">
        <v>6</v>
      </c>
      <c r="B7" s="2" t="s">
        <v>130</v>
      </c>
    </row>
    <row r="8" customFormat="false" ht="49.5" hidden="false" customHeight="true" outlineLevel="0" collapsed="false">
      <c r="A8" s="2" t="n">
        <v>7</v>
      </c>
      <c r="B8" s="2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2026-04-16T21:48:21Z</dcterms:created>
  <dc:creator>openpyxl</dc:creator>
  <dc:description/>
  <dc:language>en-US</dc:language>
  <cp:lastModifiedBy/>
  <dcterms:modified xsi:type="dcterms:W3CDTF">2026-04-16T21:48:21Z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